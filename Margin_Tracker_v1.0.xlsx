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fantasticthings-my.sharepoint.com/personal/mbattistini_troveuk_com/Documents/TROVE - NEW/Website uploads/Spreadsheets/"/>
    </mc:Choice>
  </mc:AlternateContent>
  <xr:revisionPtr revIDLastSave="0" documentId="8_{F4D7EB46-5F8B-4A2F-B60E-3B4FDEDA4EC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STRUCTIONS" sheetId="1" r:id="rId1"/>
    <sheet name="SETUP" sheetId="2" r:id="rId2"/>
    <sheet name="MARGIN_TRACK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3" l="1"/>
  <c r="E204" i="3"/>
  <c r="G204" i="3" s="1"/>
  <c r="H204" i="3" s="1"/>
  <c r="D204" i="3"/>
  <c r="G203" i="3"/>
  <c r="H203" i="3" s="1"/>
  <c r="F203" i="3"/>
  <c r="E203" i="3"/>
  <c r="D203" i="3"/>
  <c r="H202" i="3"/>
  <c r="F202" i="3"/>
  <c r="D202" i="3"/>
  <c r="E202" i="3" s="1"/>
  <c r="G202" i="3" s="1"/>
  <c r="F201" i="3"/>
  <c r="D201" i="3"/>
  <c r="E201" i="3" s="1"/>
  <c r="G201" i="3" s="1"/>
  <c r="H201" i="3" s="1"/>
  <c r="F200" i="3"/>
  <c r="E200" i="3"/>
  <c r="G200" i="3" s="1"/>
  <c r="H200" i="3" s="1"/>
  <c r="D200" i="3"/>
  <c r="G199" i="3"/>
  <c r="H199" i="3" s="1"/>
  <c r="F199" i="3"/>
  <c r="E199" i="3"/>
  <c r="D199" i="3"/>
  <c r="G198" i="3"/>
  <c r="H198" i="3" s="1"/>
  <c r="F198" i="3"/>
  <c r="D198" i="3"/>
  <c r="E198" i="3" s="1"/>
  <c r="F197" i="3"/>
  <c r="D197" i="3"/>
  <c r="E197" i="3" s="1"/>
  <c r="G197" i="3" s="1"/>
  <c r="H197" i="3" s="1"/>
  <c r="F196" i="3"/>
  <c r="E196" i="3"/>
  <c r="G196" i="3" s="1"/>
  <c r="H196" i="3" s="1"/>
  <c r="D196" i="3"/>
  <c r="G195" i="3"/>
  <c r="H195" i="3" s="1"/>
  <c r="F195" i="3"/>
  <c r="D195" i="3"/>
  <c r="E195" i="3" s="1"/>
  <c r="G194" i="3"/>
  <c r="H194" i="3" s="1"/>
  <c r="F194" i="3"/>
  <c r="D194" i="3"/>
  <c r="E194" i="3" s="1"/>
  <c r="F193" i="3"/>
  <c r="D193" i="3"/>
  <c r="E193" i="3" s="1"/>
  <c r="G193" i="3" s="1"/>
  <c r="H193" i="3" s="1"/>
  <c r="F192" i="3"/>
  <c r="E192" i="3"/>
  <c r="G192" i="3" s="1"/>
  <c r="H192" i="3" s="1"/>
  <c r="D192" i="3"/>
  <c r="G191" i="3"/>
  <c r="H191" i="3" s="1"/>
  <c r="F191" i="3"/>
  <c r="E191" i="3"/>
  <c r="D191" i="3"/>
  <c r="H190" i="3"/>
  <c r="F190" i="3"/>
  <c r="D190" i="3"/>
  <c r="E190" i="3" s="1"/>
  <c r="G190" i="3" s="1"/>
  <c r="F189" i="3"/>
  <c r="D189" i="3"/>
  <c r="E189" i="3" s="1"/>
  <c r="G189" i="3" s="1"/>
  <c r="H189" i="3" s="1"/>
  <c r="F188" i="3"/>
  <c r="E188" i="3"/>
  <c r="G188" i="3" s="1"/>
  <c r="H188" i="3" s="1"/>
  <c r="D188" i="3"/>
  <c r="G187" i="3"/>
  <c r="H187" i="3" s="1"/>
  <c r="F187" i="3"/>
  <c r="D187" i="3"/>
  <c r="E187" i="3" s="1"/>
  <c r="G186" i="3"/>
  <c r="H186" i="3" s="1"/>
  <c r="F186" i="3"/>
  <c r="D186" i="3"/>
  <c r="E186" i="3" s="1"/>
  <c r="F185" i="3"/>
  <c r="E185" i="3"/>
  <c r="G185" i="3" s="1"/>
  <c r="H185" i="3" s="1"/>
  <c r="D185" i="3"/>
  <c r="F184" i="3"/>
  <c r="E184" i="3"/>
  <c r="G184" i="3" s="1"/>
  <c r="H184" i="3" s="1"/>
  <c r="D184" i="3"/>
  <c r="F183" i="3"/>
  <c r="D183" i="3"/>
  <c r="E183" i="3" s="1"/>
  <c r="G183" i="3" s="1"/>
  <c r="H183" i="3" s="1"/>
  <c r="F182" i="3"/>
  <c r="D182" i="3"/>
  <c r="E182" i="3" s="1"/>
  <c r="G182" i="3" s="1"/>
  <c r="H182" i="3" s="1"/>
  <c r="F181" i="3"/>
  <c r="D181" i="3"/>
  <c r="E181" i="3" s="1"/>
  <c r="G181" i="3" s="1"/>
  <c r="H181" i="3" s="1"/>
  <c r="F180" i="3"/>
  <c r="E180" i="3"/>
  <c r="G180" i="3" s="1"/>
  <c r="H180" i="3" s="1"/>
  <c r="D180" i="3"/>
  <c r="G179" i="3"/>
  <c r="H179" i="3" s="1"/>
  <c r="F179" i="3"/>
  <c r="D179" i="3"/>
  <c r="E179" i="3" s="1"/>
  <c r="G178" i="3"/>
  <c r="H178" i="3" s="1"/>
  <c r="F178" i="3"/>
  <c r="D178" i="3"/>
  <c r="E178" i="3" s="1"/>
  <c r="H177" i="3"/>
  <c r="F177" i="3"/>
  <c r="E177" i="3"/>
  <c r="G177" i="3" s="1"/>
  <c r="D177" i="3"/>
  <c r="F176" i="3"/>
  <c r="E176" i="3"/>
  <c r="G176" i="3" s="1"/>
  <c r="H176" i="3" s="1"/>
  <c r="D176" i="3"/>
  <c r="F175" i="3"/>
  <c r="D175" i="3"/>
  <c r="E175" i="3" s="1"/>
  <c r="G175" i="3" s="1"/>
  <c r="H175" i="3" s="1"/>
  <c r="H174" i="3"/>
  <c r="F174" i="3"/>
  <c r="D174" i="3"/>
  <c r="E174" i="3" s="1"/>
  <c r="G174" i="3" s="1"/>
  <c r="F173" i="3"/>
  <c r="D173" i="3"/>
  <c r="E173" i="3" s="1"/>
  <c r="G173" i="3" s="1"/>
  <c r="H173" i="3" s="1"/>
  <c r="F172" i="3"/>
  <c r="E172" i="3"/>
  <c r="G172" i="3" s="1"/>
  <c r="H172" i="3" s="1"/>
  <c r="D172" i="3"/>
  <c r="G171" i="3"/>
  <c r="H171" i="3" s="1"/>
  <c r="F171" i="3"/>
  <c r="D171" i="3"/>
  <c r="E171" i="3" s="1"/>
  <c r="G170" i="3"/>
  <c r="H170" i="3" s="1"/>
  <c r="F170" i="3"/>
  <c r="D170" i="3"/>
  <c r="E170" i="3" s="1"/>
  <c r="F169" i="3"/>
  <c r="E169" i="3"/>
  <c r="G169" i="3" s="1"/>
  <c r="H169" i="3" s="1"/>
  <c r="D169" i="3"/>
  <c r="F168" i="3"/>
  <c r="E168" i="3"/>
  <c r="G168" i="3" s="1"/>
  <c r="H168" i="3" s="1"/>
  <c r="D168" i="3"/>
  <c r="F167" i="3"/>
  <c r="D167" i="3"/>
  <c r="E167" i="3" s="1"/>
  <c r="G167" i="3" s="1"/>
  <c r="H167" i="3" s="1"/>
  <c r="F166" i="3"/>
  <c r="D166" i="3"/>
  <c r="E166" i="3" s="1"/>
  <c r="G166" i="3" s="1"/>
  <c r="H166" i="3" s="1"/>
  <c r="F165" i="3"/>
  <c r="D165" i="3"/>
  <c r="E165" i="3" s="1"/>
  <c r="G165" i="3" s="1"/>
  <c r="H165" i="3" s="1"/>
  <c r="F164" i="3"/>
  <c r="E164" i="3"/>
  <c r="G164" i="3" s="1"/>
  <c r="H164" i="3" s="1"/>
  <c r="D164" i="3"/>
  <c r="G163" i="3"/>
  <c r="H163" i="3" s="1"/>
  <c r="F163" i="3"/>
  <c r="D163" i="3"/>
  <c r="E163" i="3" s="1"/>
  <c r="G162" i="3"/>
  <c r="H162" i="3" s="1"/>
  <c r="F162" i="3"/>
  <c r="D162" i="3"/>
  <c r="E162" i="3" s="1"/>
  <c r="H161" i="3"/>
  <c r="F161" i="3"/>
  <c r="E161" i="3"/>
  <c r="G161" i="3" s="1"/>
  <c r="D161" i="3"/>
  <c r="F160" i="3"/>
  <c r="E160" i="3"/>
  <c r="G160" i="3" s="1"/>
  <c r="H160" i="3" s="1"/>
  <c r="D160" i="3"/>
  <c r="F159" i="3"/>
  <c r="D159" i="3"/>
  <c r="E159" i="3" s="1"/>
  <c r="G159" i="3" s="1"/>
  <c r="H159" i="3" s="1"/>
  <c r="H158" i="3"/>
  <c r="F158" i="3"/>
  <c r="D158" i="3"/>
  <c r="E158" i="3" s="1"/>
  <c r="G158" i="3" s="1"/>
  <c r="F157" i="3"/>
  <c r="D157" i="3"/>
  <c r="E157" i="3" s="1"/>
  <c r="G157" i="3" s="1"/>
  <c r="H157" i="3" s="1"/>
  <c r="F156" i="3"/>
  <c r="E156" i="3"/>
  <c r="G156" i="3" s="1"/>
  <c r="H156" i="3" s="1"/>
  <c r="D156" i="3"/>
  <c r="G155" i="3"/>
  <c r="H155" i="3" s="1"/>
  <c r="F155" i="3"/>
  <c r="D155" i="3"/>
  <c r="E155" i="3" s="1"/>
  <c r="G154" i="3"/>
  <c r="H154" i="3" s="1"/>
  <c r="F154" i="3"/>
  <c r="D154" i="3"/>
  <c r="E154" i="3" s="1"/>
  <c r="F153" i="3"/>
  <c r="E153" i="3"/>
  <c r="G153" i="3" s="1"/>
  <c r="H153" i="3" s="1"/>
  <c r="D153" i="3"/>
  <c r="F152" i="3"/>
  <c r="E152" i="3"/>
  <c r="G152" i="3" s="1"/>
  <c r="H152" i="3" s="1"/>
  <c r="D152" i="3"/>
  <c r="F151" i="3"/>
  <c r="D151" i="3"/>
  <c r="E151" i="3" s="1"/>
  <c r="G151" i="3" s="1"/>
  <c r="H151" i="3" s="1"/>
  <c r="F150" i="3"/>
  <c r="D150" i="3"/>
  <c r="E150" i="3" s="1"/>
  <c r="G150" i="3" s="1"/>
  <c r="H150" i="3" s="1"/>
  <c r="F149" i="3"/>
  <c r="D149" i="3"/>
  <c r="E149" i="3" s="1"/>
  <c r="G149" i="3" s="1"/>
  <c r="H149" i="3" s="1"/>
  <c r="F148" i="3"/>
  <c r="E148" i="3"/>
  <c r="G148" i="3" s="1"/>
  <c r="H148" i="3" s="1"/>
  <c r="D148" i="3"/>
  <c r="G147" i="3"/>
  <c r="H147" i="3" s="1"/>
  <c r="F147" i="3"/>
  <c r="D147" i="3"/>
  <c r="E147" i="3" s="1"/>
  <c r="G146" i="3"/>
  <c r="H146" i="3" s="1"/>
  <c r="F146" i="3"/>
  <c r="D146" i="3"/>
  <c r="E146" i="3" s="1"/>
  <c r="H145" i="3"/>
  <c r="F145" i="3"/>
  <c r="E145" i="3"/>
  <c r="G145" i="3" s="1"/>
  <c r="D145" i="3"/>
  <c r="F144" i="3"/>
  <c r="E144" i="3"/>
  <c r="G144" i="3" s="1"/>
  <c r="H144" i="3" s="1"/>
  <c r="D144" i="3"/>
  <c r="F143" i="3"/>
  <c r="D143" i="3"/>
  <c r="E143" i="3" s="1"/>
  <c r="G143" i="3" s="1"/>
  <c r="H143" i="3" s="1"/>
  <c r="H142" i="3"/>
  <c r="F142" i="3"/>
  <c r="D142" i="3"/>
  <c r="E142" i="3" s="1"/>
  <c r="G142" i="3" s="1"/>
  <c r="F141" i="3"/>
  <c r="D141" i="3"/>
  <c r="E141" i="3" s="1"/>
  <c r="G141" i="3" s="1"/>
  <c r="H141" i="3" s="1"/>
  <c r="F140" i="3"/>
  <c r="E140" i="3"/>
  <c r="G140" i="3" s="1"/>
  <c r="H140" i="3" s="1"/>
  <c r="D140" i="3"/>
  <c r="G139" i="3"/>
  <c r="H139" i="3" s="1"/>
  <c r="F139" i="3"/>
  <c r="D139" i="3"/>
  <c r="E139" i="3" s="1"/>
  <c r="G138" i="3"/>
  <c r="H138" i="3" s="1"/>
  <c r="F138" i="3"/>
  <c r="D138" i="3"/>
  <c r="E138" i="3" s="1"/>
  <c r="F137" i="3"/>
  <c r="E137" i="3"/>
  <c r="G137" i="3" s="1"/>
  <c r="H137" i="3" s="1"/>
  <c r="D137" i="3"/>
  <c r="F136" i="3"/>
  <c r="E136" i="3"/>
  <c r="G136" i="3" s="1"/>
  <c r="H136" i="3" s="1"/>
  <c r="D136" i="3"/>
  <c r="F135" i="3"/>
  <c r="D135" i="3"/>
  <c r="E135" i="3" s="1"/>
  <c r="G135" i="3" s="1"/>
  <c r="H135" i="3" s="1"/>
  <c r="F134" i="3"/>
  <c r="D134" i="3"/>
  <c r="E134" i="3" s="1"/>
  <c r="G134" i="3" s="1"/>
  <c r="H134" i="3" s="1"/>
  <c r="F133" i="3"/>
  <c r="D133" i="3"/>
  <c r="E133" i="3" s="1"/>
  <c r="G133" i="3" s="1"/>
  <c r="H133" i="3" s="1"/>
  <c r="F132" i="3"/>
  <c r="E132" i="3"/>
  <c r="G132" i="3" s="1"/>
  <c r="H132" i="3" s="1"/>
  <c r="D132" i="3"/>
  <c r="G131" i="3"/>
  <c r="H131" i="3" s="1"/>
  <c r="F131" i="3"/>
  <c r="D131" i="3"/>
  <c r="E131" i="3" s="1"/>
  <c r="G130" i="3"/>
  <c r="H130" i="3" s="1"/>
  <c r="F130" i="3"/>
  <c r="D130" i="3"/>
  <c r="E130" i="3" s="1"/>
  <c r="H129" i="3"/>
  <c r="F129" i="3"/>
  <c r="E129" i="3"/>
  <c r="G129" i="3" s="1"/>
  <c r="D129" i="3"/>
  <c r="F128" i="3"/>
  <c r="E128" i="3"/>
  <c r="G128" i="3" s="1"/>
  <c r="H128" i="3" s="1"/>
  <c r="D128" i="3"/>
  <c r="F127" i="3"/>
  <c r="D127" i="3"/>
  <c r="E127" i="3" s="1"/>
  <c r="G127" i="3" s="1"/>
  <c r="H127" i="3" s="1"/>
  <c r="H126" i="3"/>
  <c r="F126" i="3"/>
  <c r="D126" i="3"/>
  <c r="E126" i="3" s="1"/>
  <c r="G126" i="3" s="1"/>
  <c r="F125" i="3"/>
  <c r="D125" i="3"/>
  <c r="E125" i="3" s="1"/>
  <c r="G125" i="3" s="1"/>
  <c r="H125" i="3" s="1"/>
  <c r="F124" i="3"/>
  <c r="E124" i="3"/>
  <c r="G124" i="3" s="1"/>
  <c r="H124" i="3" s="1"/>
  <c r="D124" i="3"/>
  <c r="G123" i="3"/>
  <c r="H123" i="3" s="1"/>
  <c r="F123" i="3"/>
  <c r="D123" i="3"/>
  <c r="E123" i="3" s="1"/>
  <c r="G122" i="3"/>
  <c r="H122" i="3" s="1"/>
  <c r="F122" i="3"/>
  <c r="D122" i="3"/>
  <c r="E122" i="3" s="1"/>
  <c r="F121" i="3"/>
  <c r="E121" i="3"/>
  <c r="G121" i="3" s="1"/>
  <c r="H121" i="3" s="1"/>
  <c r="D121" i="3"/>
  <c r="F120" i="3"/>
  <c r="E120" i="3"/>
  <c r="G120" i="3" s="1"/>
  <c r="H120" i="3" s="1"/>
  <c r="D120" i="3"/>
  <c r="G119" i="3"/>
  <c r="H119" i="3" s="1"/>
  <c r="F119" i="3"/>
  <c r="E119" i="3"/>
  <c r="D119" i="3"/>
  <c r="G118" i="3"/>
  <c r="H118" i="3" s="1"/>
  <c r="F118" i="3"/>
  <c r="D118" i="3"/>
  <c r="E118" i="3" s="1"/>
  <c r="F117" i="3"/>
  <c r="E117" i="3"/>
  <c r="G117" i="3" s="1"/>
  <c r="H117" i="3" s="1"/>
  <c r="D117" i="3"/>
  <c r="F116" i="3"/>
  <c r="E116" i="3"/>
  <c r="G116" i="3" s="1"/>
  <c r="H116" i="3" s="1"/>
  <c r="D116" i="3"/>
  <c r="G115" i="3"/>
  <c r="H115" i="3" s="1"/>
  <c r="F115" i="3"/>
  <c r="E115" i="3"/>
  <c r="D115" i="3"/>
  <c r="F114" i="3"/>
  <c r="D114" i="3"/>
  <c r="E114" i="3" s="1"/>
  <c r="G114" i="3" s="1"/>
  <c r="H114" i="3" s="1"/>
  <c r="F113" i="3"/>
  <c r="D113" i="3"/>
  <c r="E113" i="3" s="1"/>
  <c r="G113" i="3" s="1"/>
  <c r="H113" i="3" s="1"/>
  <c r="F112" i="3"/>
  <c r="E112" i="3"/>
  <c r="G112" i="3" s="1"/>
  <c r="H112" i="3" s="1"/>
  <c r="D112" i="3"/>
  <c r="G111" i="3"/>
  <c r="H111" i="3" s="1"/>
  <c r="F111" i="3"/>
  <c r="E111" i="3"/>
  <c r="D111" i="3"/>
  <c r="G110" i="3"/>
  <c r="H110" i="3" s="1"/>
  <c r="F110" i="3"/>
  <c r="D110" i="3"/>
  <c r="E110" i="3" s="1"/>
  <c r="H109" i="3"/>
  <c r="F109" i="3"/>
  <c r="D109" i="3"/>
  <c r="E109" i="3" s="1"/>
  <c r="G109" i="3" s="1"/>
  <c r="F108" i="3"/>
  <c r="E108" i="3"/>
  <c r="G108" i="3" s="1"/>
  <c r="H108" i="3" s="1"/>
  <c r="D108" i="3"/>
  <c r="G107" i="3"/>
  <c r="H107" i="3" s="1"/>
  <c r="F107" i="3"/>
  <c r="E107" i="3"/>
  <c r="D107" i="3"/>
  <c r="G106" i="3"/>
  <c r="H106" i="3" s="1"/>
  <c r="F106" i="3"/>
  <c r="D106" i="3"/>
  <c r="E106" i="3" s="1"/>
  <c r="F105" i="3"/>
  <c r="E105" i="3"/>
  <c r="G105" i="3" s="1"/>
  <c r="H105" i="3" s="1"/>
  <c r="D105" i="3"/>
  <c r="F104" i="3"/>
  <c r="E104" i="3"/>
  <c r="G104" i="3" s="1"/>
  <c r="H104" i="3" s="1"/>
  <c r="D104" i="3"/>
  <c r="G103" i="3"/>
  <c r="H103" i="3" s="1"/>
  <c r="F103" i="3"/>
  <c r="E103" i="3"/>
  <c r="D103" i="3"/>
  <c r="G102" i="3"/>
  <c r="H102" i="3" s="1"/>
  <c r="F102" i="3"/>
  <c r="D102" i="3"/>
  <c r="E102" i="3" s="1"/>
  <c r="F101" i="3"/>
  <c r="E101" i="3"/>
  <c r="G101" i="3" s="1"/>
  <c r="H101" i="3" s="1"/>
  <c r="D101" i="3"/>
  <c r="F100" i="3"/>
  <c r="E100" i="3"/>
  <c r="G100" i="3" s="1"/>
  <c r="H100" i="3" s="1"/>
  <c r="D100" i="3"/>
  <c r="G99" i="3"/>
  <c r="H99" i="3" s="1"/>
  <c r="F99" i="3"/>
  <c r="E99" i="3"/>
  <c r="D99" i="3"/>
  <c r="F98" i="3"/>
  <c r="D98" i="3"/>
  <c r="E98" i="3" s="1"/>
  <c r="G98" i="3" s="1"/>
  <c r="H98" i="3" s="1"/>
  <c r="F97" i="3"/>
  <c r="D97" i="3"/>
  <c r="E97" i="3" s="1"/>
  <c r="G97" i="3" s="1"/>
  <c r="H97" i="3" s="1"/>
  <c r="F96" i="3"/>
  <c r="E96" i="3"/>
  <c r="G96" i="3" s="1"/>
  <c r="H96" i="3" s="1"/>
  <c r="D96" i="3"/>
  <c r="G95" i="3"/>
  <c r="H95" i="3" s="1"/>
  <c r="F95" i="3"/>
  <c r="E95" i="3"/>
  <c r="D95" i="3"/>
  <c r="G94" i="3"/>
  <c r="H94" i="3" s="1"/>
  <c r="F94" i="3"/>
  <c r="D94" i="3"/>
  <c r="E94" i="3" s="1"/>
  <c r="H93" i="3"/>
  <c r="F93" i="3"/>
  <c r="D93" i="3"/>
  <c r="E93" i="3" s="1"/>
  <c r="G93" i="3" s="1"/>
  <c r="F92" i="3"/>
  <c r="E92" i="3"/>
  <c r="G92" i="3" s="1"/>
  <c r="H92" i="3" s="1"/>
  <c r="D92" i="3"/>
  <c r="F91" i="3"/>
  <c r="D91" i="3"/>
  <c r="E91" i="3" s="1"/>
  <c r="G91" i="3" s="1"/>
  <c r="H91" i="3" s="1"/>
  <c r="F90" i="3"/>
  <c r="E90" i="3"/>
  <c r="G90" i="3" s="1"/>
  <c r="H90" i="3" s="1"/>
  <c r="D90" i="3"/>
  <c r="F89" i="3"/>
  <c r="E89" i="3"/>
  <c r="G89" i="3" s="1"/>
  <c r="H89" i="3" s="1"/>
  <c r="D89" i="3"/>
  <c r="F88" i="3"/>
  <c r="E88" i="3"/>
  <c r="G88" i="3" s="1"/>
  <c r="H88" i="3" s="1"/>
  <c r="D88" i="3"/>
  <c r="G87" i="3"/>
  <c r="H87" i="3" s="1"/>
  <c r="F87" i="3"/>
  <c r="D87" i="3"/>
  <c r="E87" i="3" s="1"/>
  <c r="F86" i="3"/>
  <c r="D86" i="3"/>
  <c r="E86" i="3" s="1"/>
  <c r="G86" i="3" s="1"/>
  <c r="H86" i="3" s="1"/>
  <c r="F85" i="3"/>
  <c r="D85" i="3"/>
  <c r="E85" i="3" s="1"/>
  <c r="G85" i="3" s="1"/>
  <c r="H85" i="3" s="1"/>
  <c r="G84" i="3"/>
  <c r="H84" i="3" s="1"/>
  <c r="F84" i="3"/>
  <c r="E84" i="3"/>
  <c r="D84" i="3"/>
  <c r="G83" i="3"/>
  <c r="H83" i="3" s="1"/>
  <c r="F83" i="3"/>
  <c r="D83" i="3"/>
  <c r="E83" i="3" s="1"/>
  <c r="F82" i="3"/>
  <c r="D82" i="3"/>
  <c r="E82" i="3" s="1"/>
  <c r="G82" i="3" s="1"/>
  <c r="H82" i="3" s="1"/>
  <c r="H81" i="3"/>
  <c r="F81" i="3"/>
  <c r="D81" i="3"/>
  <c r="E81" i="3" s="1"/>
  <c r="G81" i="3" s="1"/>
  <c r="G80" i="3"/>
  <c r="H80" i="3" s="1"/>
  <c r="F80" i="3"/>
  <c r="E80" i="3"/>
  <c r="D80" i="3"/>
  <c r="H79" i="3"/>
  <c r="F79" i="3"/>
  <c r="D79" i="3"/>
  <c r="E79" i="3" s="1"/>
  <c r="G79" i="3" s="1"/>
  <c r="F78" i="3"/>
  <c r="D78" i="3"/>
  <c r="E78" i="3" s="1"/>
  <c r="G78" i="3" s="1"/>
  <c r="H78" i="3" s="1"/>
  <c r="F77" i="3"/>
  <c r="D77" i="3"/>
  <c r="E77" i="3" s="1"/>
  <c r="G77" i="3" s="1"/>
  <c r="H77" i="3" s="1"/>
  <c r="F76" i="3"/>
  <c r="E76" i="3"/>
  <c r="G76" i="3" s="1"/>
  <c r="H76" i="3" s="1"/>
  <c r="D76" i="3"/>
  <c r="F75" i="3"/>
  <c r="D75" i="3"/>
  <c r="E75" i="3" s="1"/>
  <c r="G75" i="3" s="1"/>
  <c r="H75" i="3" s="1"/>
  <c r="F74" i="3"/>
  <c r="E74" i="3"/>
  <c r="G74" i="3" s="1"/>
  <c r="H74" i="3" s="1"/>
  <c r="D74" i="3"/>
  <c r="F73" i="3"/>
  <c r="E73" i="3"/>
  <c r="G73" i="3" s="1"/>
  <c r="H73" i="3" s="1"/>
  <c r="D73" i="3"/>
  <c r="F72" i="3"/>
  <c r="E72" i="3"/>
  <c r="G72" i="3" s="1"/>
  <c r="H72" i="3" s="1"/>
  <c r="D72" i="3"/>
  <c r="G71" i="3"/>
  <c r="H71" i="3" s="1"/>
  <c r="F71" i="3"/>
  <c r="D71" i="3"/>
  <c r="E71" i="3" s="1"/>
  <c r="F70" i="3"/>
  <c r="D70" i="3"/>
  <c r="E70" i="3" s="1"/>
  <c r="G70" i="3" s="1"/>
  <c r="H70" i="3" s="1"/>
  <c r="F69" i="3"/>
  <c r="D69" i="3"/>
  <c r="E69" i="3" s="1"/>
  <c r="G69" i="3" s="1"/>
  <c r="H69" i="3" s="1"/>
  <c r="G68" i="3"/>
  <c r="H68" i="3" s="1"/>
  <c r="F68" i="3"/>
  <c r="E68" i="3"/>
  <c r="D68" i="3"/>
  <c r="G67" i="3"/>
  <c r="H67" i="3" s="1"/>
  <c r="F67" i="3"/>
  <c r="D67" i="3"/>
  <c r="E67" i="3" s="1"/>
  <c r="G66" i="3"/>
  <c r="H66" i="3" s="1"/>
  <c r="F66" i="3"/>
  <c r="D66" i="3"/>
  <c r="E66" i="3" s="1"/>
  <c r="F65" i="3"/>
  <c r="D65" i="3"/>
  <c r="E65" i="3" s="1"/>
  <c r="G65" i="3" s="1"/>
  <c r="H65" i="3" s="1"/>
  <c r="G64" i="3"/>
  <c r="H64" i="3" s="1"/>
  <c r="F64" i="3"/>
  <c r="E64" i="3"/>
  <c r="D64" i="3"/>
  <c r="F63" i="3"/>
  <c r="D63" i="3"/>
  <c r="E63" i="3" s="1"/>
  <c r="G63" i="3" s="1"/>
  <c r="H63" i="3" s="1"/>
  <c r="H62" i="3"/>
  <c r="F62" i="3"/>
  <c r="D62" i="3"/>
  <c r="E62" i="3" s="1"/>
  <c r="G62" i="3" s="1"/>
  <c r="F61" i="3"/>
  <c r="D61" i="3"/>
  <c r="E61" i="3" s="1"/>
  <c r="G61" i="3" s="1"/>
  <c r="H61" i="3" s="1"/>
  <c r="F60" i="3"/>
  <c r="E60" i="3"/>
  <c r="G60" i="3" s="1"/>
  <c r="H60" i="3" s="1"/>
  <c r="D60" i="3"/>
  <c r="F59" i="3"/>
  <c r="D59" i="3"/>
  <c r="E59" i="3" s="1"/>
  <c r="G59" i="3" s="1"/>
  <c r="H59" i="3" s="1"/>
  <c r="F58" i="3"/>
  <c r="E58" i="3"/>
  <c r="G58" i="3" s="1"/>
  <c r="H58" i="3" s="1"/>
  <c r="D58" i="3"/>
  <c r="F57" i="3"/>
  <c r="E57" i="3"/>
  <c r="G57" i="3" s="1"/>
  <c r="H57" i="3" s="1"/>
  <c r="D57" i="3"/>
  <c r="F56" i="3"/>
  <c r="E56" i="3"/>
  <c r="G56" i="3" s="1"/>
  <c r="H56" i="3" s="1"/>
  <c r="D56" i="3"/>
  <c r="G55" i="3"/>
  <c r="H55" i="3" s="1"/>
  <c r="F55" i="3"/>
  <c r="D55" i="3"/>
  <c r="E55" i="3" s="1"/>
  <c r="F54" i="3"/>
  <c r="D54" i="3"/>
  <c r="E54" i="3" s="1"/>
  <c r="G54" i="3" s="1"/>
  <c r="H54" i="3" s="1"/>
  <c r="F53" i="3"/>
  <c r="D53" i="3"/>
  <c r="E53" i="3" s="1"/>
  <c r="G53" i="3" s="1"/>
  <c r="H53" i="3" s="1"/>
  <c r="G52" i="3"/>
  <c r="H52" i="3" s="1"/>
  <c r="F52" i="3"/>
  <c r="E52" i="3"/>
  <c r="D52" i="3"/>
  <c r="G51" i="3"/>
  <c r="H51" i="3" s="1"/>
  <c r="F51" i="3"/>
  <c r="D51" i="3"/>
  <c r="E51" i="3" s="1"/>
  <c r="F50" i="3"/>
  <c r="D50" i="3"/>
  <c r="E50" i="3" s="1"/>
  <c r="G50" i="3" s="1"/>
  <c r="H50" i="3" s="1"/>
  <c r="H49" i="3"/>
  <c r="F49" i="3"/>
  <c r="D49" i="3"/>
  <c r="E49" i="3" s="1"/>
  <c r="G49" i="3" s="1"/>
  <c r="G48" i="3"/>
  <c r="H48" i="3" s="1"/>
  <c r="F48" i="3"/>
  <c r="E48" i="3"/>
  <c r="D48" i="3"/>
  <c r="H47" i="3"/>
  <c r="F47" i="3"/>
  <c r="D47" i="3"/>
  <c r="E47" i="3" s="1"/>
  <c r="G47" i="3" s="1"/>
  <c r="F46" i="3"/>
  <c r="D46" i="3"/>
  <c r="E46" i="3" s="1"/>
  <c r="G46" i="3" s="1"/>
  <c r="H46" i="3" s="1"/>
  <c r="F45" i="3"/>
  <c r="D45" i="3"/>
  <c r="E45" i="3" s="1"/>
  <c r="G45" i="3" s="1"/>
  <c r="H45" i="3" s="1"/>
  <c r="F44" i="3"/>
  <c r="E44" i="3"/>
  <c r="G44" i="3" s="1"/>
  <c r="H44" i="3" s="1"/>
  <c r="D44" i="3"/>
  <c r="F43" i="3"/>
  <c r="D43" i="3"/>
  <c r="E43" i="3" s="1"/>
  <c r="G43" i="3" s="1"/>
  <c r="H43" i="3" s="1"/>
  <c r="F42" i="3"/>
  <c r="E42" i="3"/>
  <c r="G42" i="3" s="1"/>
  <c r="H42" i="3" s="1"/>
  <c r="D42" i="3"/>
  <c r="F41" i="3"/>
  <c r="E41" i="3"/>
  <c r="G41" i="3" s="1"/>
  <c r="H41" i="3" s="1"/>
  <c r="D41" i="3"/>
  <c r="F40" i="3"/>
  <c r="E40" i="3"/>
  <c r="G40" i="3" s="1"/>
  <c r="H40" i="3" s="1"/>
  <c r="D40" i="3"/>
  <c r="G39" i="3"/>
  <c r="H39" i="3" s="1"/>
  <c r="F39" i="3"/>
  <c r="D39" i="3"/>
  <c r="E39" i="3" s="1"/>
  <c r="F38" i="3"/>
  <c r="D38" i="3"/>
  <c r="E38" i="3" s="1"/>
  <c r="G38" i="3" s="1"/>
  <c r="H38" i="3" s="1"/>
  <c r="F37" i="3"/>
  <c r="D37" i="3"/>
  <c r="E37" i="3" s="1"/>
  <c r="G37" i="3" s="1"/>
  <c r="H37" i="3" s="1"/>
  <c r="G36" i="3"/>
  <c r="H36" i="3" s="1"/>
  <c r="F36" i="3"/>
  <c r="E36" i="3"/>
  <c r="D36" i="3"/>
  <c r="G35" i="3"/>
  <c r="H35" i="3" s="1"/>
  <c r="F35" i="3"/>
  <c r="D35" i="3"/>
  <c r="E35" i="3" s="1"/>
  <c r="G34" i="3"/>
  <c r="H34" i="3" s="1"/>
  <c r="F34" i="3"/>
  <c r="D34" i="3"/>
  <c r="E34" i="3" s="1"/>
  <c r="F33" i="3"/>
  <c r="D33" i="3"/>
  <c r="E33" i="3" s="1"/>
  <c r="G33" i="3" s="1"/>
  <c r="H33" i="3" s="1"/>
  <c r="G32" i="3"/>
  <c r="H32" i="3" s="1"/>
  <c r="F32" i="3"/>
  <c r="E32" i="3"/>
  <c r="D32" i="3"/>
  <c r="F31" i="3"/>
  <c r="D31" i="3"/>
  <c r="E31" i="3" s="1"/>
  <c r="G31" i="3" s="1"/>
  <c r="H31" i="3" s="1"/>
  <c r="H30" i="3"/>
  <c r="F30" i="3"/>
  <c r="D30" i="3"/>
  <c r="E30" i="3" s="1"/>
  <c r="G30" i="3" s="1"/>
  <c r="F29" i="3"/>
  <c r="D29" i="3"/>
  <c r="E29" i="3" s="1"/>
  <c r="G29" i="3" s="1"/>
  <c r="H29" i="3" s="1"/>
  <c r="F28" i="3"/>
  <c r="E28" i="3"/>
  <c r="G28" i="3" s="1"/>
  <c r="H28" i="3" s="1"/>
  <c r="D28" i="3"/>
  <c r="F27" i="3"/>
  <c r="D27" i="3"/>
  <c r="E27" i="3" s="1"/>
  <c r="G27" i="3" s="1"/>
  <c r="H27" i="3" s="1"/>
  <c r="F26" i="3"/>
  <c r="E26" i="3"/>
  <c r="G26" i="3" s="1"/>
  <c r="H26" i="3" s="1"/>
  <c r="D26" i="3"/>
  <c r="F25" i="3"/>
  <c r="E25" i="3"/>
  <c r="G25" i="3" s="1"/>
  <c r="H25" i="3" s="1"/>
  <c r="D25" i="3"/>
  <c r="F24" i="3"/>
  <c r="E24" i="3"/>
  <c r="G24" i="3" s="1"/>
  <c r="H24" i="3" s="1"/>
  <c r="D24" i="3"/>
  <c r="G23" i="3"/>
  <c r="H23" i="3" s="1"/>
  <c r="F23" i="3"/>
  <c r="D23" i="3"/>
  <c r="E23" i="3" s="1"/>
  <c r="F22" i="3"/>
  <c r="D22" i="3"/>
  <c r="E22" i="3" s="1"/>
  <c r="G22" i="3" s="1"/>
  <c r="H22" i="3" s="1"/>
  <c r="F21" i="3"/>
  <c r="D21" i="3"/>
  <c r="E21" i="3" s="1"/>
  <c r="G21" i="3" s="1"/>
  <c r="H21" i="3" s="1"/>
  <c r="G20" i="3"/>
  <c r="H20" i="3" s="1"/>
  <c r="F20" i="3"/>
  <c r="E20" i="3"/>
  <c r="D20" i="3"/>
  <c r="G19" i="3"/>
  <c r="H19" i="3" s="1"/>
  <c r="F19" i="3"/>
  <c r="D19" i="3"/>
  <c r="E19" i="3" s="1"/>
  <c r="G18" i="3"/>
  <c r="H18" i="3" s="1"/>
  <c r="F18" i="3"/>
  <c r="D18" i="3"/>
  <c r="E18" i="3" s="1"/>
  <c r="F17" i="3"/>
  <c r="D17" i="3"/>
  <c r="E17" i="3" s="1"/>
  <c r="G17" i="3" s="1"/>
  <c r="H17" i="3" s="1"/>
  <c r="F16" i="3"/>
  <c r="D16" i="3"/>
  <c r="E16" i="3" s="1"/>
  <c r="G16" i="3" s="1"/>
  <c r="H16" i="3" s="1"/>
  <c r="F15" i="3"/>
  <c r="E15" i="3"/>
  <c r="G15" i="3" s="1"/>
  <c r="H15" i="3" s="1"/>
  <c r="D15" i="3"/>
  <c r="G14" i="3"/>
  <c r="H14" i="3" s="1"/>
  <c r="F14" i="3"/>
  <c r="D14" i="3"/>
  <c r="E14" i="3" s="1"/>
  <c r="G13" i="3"/>
  <c r="H13" i="3" s="1"/>
  <c r="F13" i="3"/>
  <c r="D13" i="3"/>
  <c r="E13" i="3" s="1"/>
  <c r="F12" i="3"/>
  <c r="D12" i="3"/>
  <c r="E12" i="3" s="1"/>
  <c r="G12" i="3" s="1"/>
  <c r="H12" i="3" s="1"/>
  <c r="F11" i="3"/>
  <c r="E11" i="3"/>
  <c r="G11" i="3" s="1"/>
  <c r="H11" i="3" s="1"/>
  <c r="D11" i="3"/>
  <c r="F10" i="3"/>
  <c r="D10" i="3"/>
  <c r="E10" i="3" s="1"/>
  <c r="G10" i="3" s="1"/>
  <c r="H10" i="3" s="1"/>
  <c r="F9" i="3"/>
  <c r="D9" i="3"/>
  <c r="E9" i="3" s="1"/>
  <c r="G9" i="3" s="1"/>
  <c r="H9" i="3" s="1"/>
  <c r="F8" i="3"/>
  <c r="D8" i="3"/>
  <c r="E8" i="3" s="1"/>
  <c r="G8" i="3" s="1"/>
  <c r="H8" i="3" s="1"/>
  <c r="F7" i="3"/>
  <c r="E7" i="3"/>
  <c r="G7" i="3" s="1"/>
  <c r="H7" i="3" s="1"/>
  <c r="D7" i="3"/>
  <c r="G6" i="3"/>
  <c r="H6" i="3" s="1"/>
  <c r="F6" i="3"/>
  <c r="D6" i="3"/>
  <c r="E6" i="3" s="1"/>
  <c r="G5" i="3"/>
  <c r="H5" i="3" s="1"/>
  <c r="F5" i="3"/>
  <c r="D5" i="3"/>
  <c r="E5" i="3" s="1"/>
  <c r="F4" i="3"/>
  <c r="D4" i="3"/>
  <c r="E4" i="3" s="1"/>
  <c r="G4" i="3" s="1"/>
  <c r="H4" i="3" s="1"/>
</calcChain>
</file>

<file path=xl/sharedStrings.xml><?xml version="1.0" encoding="utf-8"?>
<sst xmlns="http://schemas.openxmlformats.org/spreadsheetml/2006/main" count="27" uniqueCount="25">
  <si>
    <t>Margin Tracker (Basic)</t>
  </si>
  <si>
    <t>Purpose</t>
  </si>
  <si>
    <t>Track what margin you EXPECT versus what margin you ACTUALLY achieve.</t>
  </si>
  <si>
    <t>This helps you spot underpricing, discount damage, and margin drift over time.</t>
  </si>
  <si>
    <t>How to use</t>
  </si>
  <si>
    <t>1) Complete the SETUP tab (yellow cells only).</t>
  </si>
  <si>
    <t>2) Enter weekly or monthly figures in the MARGIN_TRACKER tab.</t>
  </si>
  <si>
    <t>3) Review variance and flags.</t>
  </si>
  <si>
    <t>Notes</t>
  </si>
  <si>
    <t>• All figures are EX VAT.</t>
  </si>
  <si>
    <t>• Use estimates if exact figures are not available.</t>
  </si>
  <si>
    <t>• This is a monitoring tool, not an accounting system.</t>
  </si>
  <si>
    <t>SETUP (fill yellow cells)</t>
  </si>
  <si>
    <t>Target margin % (what you expect to achieve)</t>
  </si>
  <si>
    <t>Tip</t>
  </si>
  <si>
    <t>If unsure, use 40% margin and 1.5–2% card fees.</t>
  </si>
  <si>
    <t>Card fees % (average)</t>
  </si>
  <si>
    <t>Period (Week / Month)</t>
  </si>
  <si>
    <t>Total Sales (ex VAT)</t>
  </si>
  <si>
    <t>Cost of Stock (ex VAT)</t>
  </si>
  <si>
    <t>Gross Margin %</t>
  </si>
  <si>
    <t>Margin after Card Fees %</t>
  </si>
  <si>
    <t>Target Margin %</t>
  </si>
  <si>
    <t>Variance vs Target %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</si>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</sst>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10" fontId="0" fillId="2" borderId="0" xfId="0" applyNumberFormat="1" applyFill="1" applyProtection="1">
      <protection locked="0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center" wrapText="1"/>
    </xf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opLeftCell="A2" workbookViewId="0"/>
  </sheetViews>
  <sheetFormatPr defaultRowHeight="14.4" x14ac:dyDescent="0.3"/>
  <cols>
    <col min="1" max="1" width="9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cols>
    <col min="1" max="1" width="55" customWidth="1"/>
    <col min="2" max="2" width="18" customWidth="1"/>
    <col min="3" max="3" width="8" customWidth="1"/>
    <col min="4" max="4" width="60" customWidth="1"/>
  </cols>
  <sheetData>
    <row r="1" spans="1:4" ht="15.6" x14ac:dyDescent="0.3">
      <c r="A1" s="4" t="s">
        <v>12</v>
      </c>
    </row>
    <row r="3" spans="1:4" x14ac:dyDescent="0.3">
      <c r="A3" t="s">
        <v>13</v>
      </c>
      <c r="B3" s="5">
        <v>0.45</v>
      </c>
      <c r="C3" t="s">
        <v>14</v>
      </c>
      <c r="D3" s="6" t="s">
        <v>15</v>
      </c>
    </row>
    <row r="4" spans="1:4" x14ac:dyDescent="0.3">
      <c r="A4" t="s">
        <v>16</v>
      </c>
      <c r="B4" s="5">
        <v>1.7999999999999999E-2</v>
      </c>
      <c r="C4" t="s">
        <v>14</v>
      </c>
      <c r="D4" s="6" t="s">
        <v>15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204"/>
  <sheetViews>
    <sheetView tabSelected="1" workbookViewId="0">
      <pane ySplit="3" topLeftCell="A4" activePane="bottomLeft" state="frozen"/>
      <selection pane="bottomLeft" activeCell="A4" sqref="A4:C4"/>
    </sheetView>
  </sheetViews>
  <sheetFormatPr defaultRowHeight="14.4" x14ac:dyDescent="0.3"/>
  <cols>
    <col min="1" max="8" width="22" customWidth="1"/>
  </cols>
  <sheetData>
    <row r="3" spans="1:8" ht="31.95" customHeight="1" x14ac:dyDescent="0.3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</row>
    <row r="4" spans="1:8" x14ac:dyDescent="0.3">
      <c r="A4" s="8"/>
      <c r="B4" s="9"/>
      <c r="C4" s="9"/>
      <c r="D4" s="10" t="str">
        <f t="shared" ref="D4:D67" si="0">IF(B4&gt;0,(B4-C4)/B4,"")</f>
        <v/>
      </c>
      <c r="E4" s="10" t="str">
        <f>IF(D4="","",D4-SETUP!$B$4)</f>
        <v/>
      </c>
      <c r="F4" s="10">
        <f>SETUP!$B$3</f>
        <v>0.45</v>
      </c>
      <c r="G4" s="10" t="str">
        <f t="shared" ref="G4:G67" si="1">IF(E4="","",E4-F4)</f>
        <v/>
      </c>
      <c r="H4" s="11" t="str">
        <f t="shared" ref="H4:H67" si="2">IF(G4="","",IF(G4&lt;0,"BELOW TARGET","ON / ABOVE TARGET"))</f>
        <v/>
      </c>
    </row>
    <row r="5" spans="1:8" x14ac:dyDescent="0.3">
      <c r="A5" s="8"/>
      <c r="B5" s="9"/>
      <c r="C5" s="9"/>
      <c r="D5" s="10" t="str">
        <f t="shared" si="0"/>
        <v/>
      </c>
      <c r="E5" s="10" t="str">
        <f>IF(D5="","",D5-SETUP!$B$4)</f>
        <v/>
      </c>
      <c r="F5" s="10">
        <f>SETUP!$B$3</f>
        <v>0.45</v>
      </c>
      <c r="G5" s="10" t="str">
        <f t="shared" si="1"/>
        <v/>
      </c>
      <c r="H5" s="11" t="str">
        <f t="shared" si="2"/>
        <v/>
      </c>
    </row>
    <row r="6" spans="1:8" x14ac:dyDescent="0.3">
      <c r="A6" s="8"/>
      <c r="B6" s="9"/>
      <c r="C6" s="9"/>
      <c r="D6" s="10" t="str">
        <f t="shared" si="0"/>
        <v/>
      </c>
      <c r="E6" s="10" t="str">
        <f>IF(D6="","",D6-SETUP!$B$4)</f>
        <v/>
      </c>
      <c r="F6" s="10">
        <f>SETUP!$B$3</f>
        <v>0.45</v>
      </c>
      <c r="G6" s="10" t="str">
        <f t="shared" si="1"/>
        <v/>
      </c>
      <c r="H6" s="11" t="str">
        <f t="shared" si="2"/>
        <v/>
      </c>
    </row>
    <row r="7" spans="1:8" x14ac:dyDescent="0.3">
      <c r="A7" s="8"/>
      <c r="B7" s="9"/>
      <c r="C7" s="9"/>
      <c r="D7" s="10" t="str">
        <f t="shared" si="0"/>
        <v/>
      </c>
      <c r="E7" s="10" t="str">
        <f>IF(D7="","",D7-SETUP!$B$4)</f>
        <v/>
      </c>
      <c r="F7" s="10">
        <f>SETUP!$B$3</f>
        <v>0.45</v>
      </c>
      <c r="G7" s="10" t="str">
        <f t="shared" si="1"/>
        <v/>
      </c>
      <c r="H7" s="11" t="str">
        <f t="shared" si="2"/>
        <v/>
      </c>
    </row>
    <row r="8" spans="1:8" x14ac:dyDescent="0.3">
      <c r="A8" s="8"/>
      <c r="B8" s="9"/>
      <c r="C8" s="9"/>
      <c r="D8" s="10" t="str">
        <f t="shared" si="0"/>
        <v/>
      </c>
      <c r="E8" s="10" t="str">
        <f>IF(D8="","",D8-SETUP!$B$4)</f>
        <v/>
      </c>
      <c r="F8" s="10">
        <f>SETUP!$B$3</f>
        <v>0.45</v>
      </c>
      <c r="G8" s="10" t="str">
        <f t="shared" si="1"/>
        <v/>
      </c>
      <c r="H8" s="11" t="str">
        <f t="shared" si="2"/>
        <v/>
      </c>
    </row>
    <row r="9" spans="1:8" x14ac:dyDescent="0.3">
      <c r="A9" s="8"/>
      <c r="B9" s="9"/>
      <c r="C9" s="9"/>
      <c r="D9" s="10" t="str">
        <f t="shared" si="0"/>
        <v/>
      </c>
      <c r="E9" s="10" t="str">
        <f>IF(D9="","",D9-SETUP!$B$4)</f>
        <v/>
      </c>
      <c r="F9" s="10">
        <f>SETUP!$B$3</f>
        <v>0.45</v>
      </c>
      <c r="G9" s="10" t="str">
        <f t="shared" si="1"/>
        <v/>
      </c>
      <c r="H9" s="11" t="str">
        <f t="shared" si="2"/>
        <v/>
      </c>
    </row>
    <row r="10" spans="1:8" x14ac:dyDescent="0.3">
      <c r="A10" s="8"/>
      <c r="B10" s="9"/>
      <c r="C10" s="9"/>
      <c r="D10" s="10" t="str">
        <f t="shared" si="0"/>
        <v/>
      </c>
      <c r="E10" s="10" t="str">
        <f>IF(D10="","",D10-SETUP!$B$4)</f>
        <v/>
      </c>
      <c r="F10" s="10">
        <f>SETUP!$B$3</f>
        <v>0.45</v>
      </c>
      <c r="G10" s="10" t="str">
        <f t="shared" si="1"/>
        <v/>
      </c>
      <c r="H10" s="11" t="str">
        <f t="shared" si="2"/>
        <v/>
      </c>
    </row>
    <row r="11" spans="1:8" x14ac:dyDescent="0.3">
      <c r="A11" s="8"/>
      <c r="B11" s="9"/>
      <c r="C11" s="9"/>
      <c r="D11" s="10" t="str">
        <f t="shared" si="0"/>
        <v/>
      </c>
      <c r="E11" s="10" t="str">
        <f>IF(D11="","",D11-SETUP!$B$4)</f>
        <v/>
      </c>
      <c r="F11" s="10">
        <f>SETUP!$B$3</f>
        <v>0.45</v>
      </c>
      <c r="G11" s="10" t="str">
        <f t="shared" si="1"/>
        <v/>
      </c>
      <c r="H11" s="11" t="str">
        <f t="shared" si="2"/>
        <v/>
      </c>
    </row>
    <row r="12" spans="1:8" x14ac:dyDescent="0.3">
      <c r="A12" s="8"/>
      <c r="B12" s="9"/>
      <c r="C12" s="9"/>
      <c r="D12" s="10" t="str">
        <f t="shared" si="0"/>
        <v/>
      </c>
      <c r="E12" s="10" t="str">
        <f>IF(D12="","",D12-SETUP!$B$4)</f>
        <v/>
      </c>
      <c r="F12" s="10">
        <f>SETUP!$B$3</f>
        <v>0.45</v>
      </c>
      <c r="G12" s="10" t="str">
        <f t="shared" si="1"/>
        <v/>
      </c>
      <c r="H12" s="11" t="str">
        <f t="shared" si="2"/>
        <v/>
      </c>
    </row>
    <row r="13" spans="1:8" x14ac:dyDescent="0.3">
      <c r="A13" s="8"/>
      <c r="B13" s="9"/>
      <c r="C13" s="9"/>
      <c r="D13" s="10" t="str">
        <f t="shared" si="0"/>
        <v/>
      </c>
      <c r="E13" s="10" t="str">
        <f>IF(D13="","",D13-SETUP!$B$4)</f>
        <v/>
      </c>
      <c r="F13" s="10">
        <f>SETUP!$B$3</f>
        <v>0.45</v>
      </c>
      <c r="G13" s="10" t="str">
        <f t="shared" si="1"/>
        <v/>
      </c>
      <c r="H13" s="11" t="str">
        <f t="shared" si="2"/>
        <v/>
      </c>
    </row>
    <row r="14" spans="1:8" x14ac:dyDescent="0.3">
      <c r="A14" s="8"/>
      <c r="B14" s="9"/>
      <c r="C14" s="9"/>
      <c r="D14" s="10" t="str">
        <f t="shared" si="0"/>
        <v/>
      </c>
      <c r="E14" s="10" t="str">
        <f>IF(D14="","",D14-SETUP!$B$4)</f>
        <v/>
      </c>
      <c r="F14" s="10">
        <f>SETUP!$B$3</f>
        <v>0.45</v>
      </c>
      <c r="G14" s="10" t="str">
        <f t="shared" si="1"/>
        <v/>
      </c>
      <c r="H14" s="11" t="str">
        <f t="shared" si="2"/>
        <v/>
      </c>
    </row>
    <row r="15" spans="1:8" x14ac:dyDescent="0.3">
      <c r="A15" s="8"/>
      <c r="B15" s="9"/>
      <c r="C15" s="9"/>
      <c r="D15" s="10" t="str">
        <f t="shared" si="0"/>
        <v/>
      </c>
      <c r="E15" s="10" t="str">
        <f>IF(D15="","",D15-SETUP!$B$4)</f>
        <v/>
      </c>
      <c r="F15" s="10">
        <f>SETUP!$B$3</f>
        <v>0.45</v>
      </c>
      <c r="G15" s="10" t="str">
        <f t="shared" si="1"/>
        <v/>
      </c>
      <c r="H15" s="11" t="str">
        <f t="shared" si="2"/>
        <v/>
      </c>
    </row>
    <row r="16" spans="1:8" x14ac:dyDescent="0.3">
      <c r="A16" s="8"/>
      <c r="B16" s="9"/>
      <c r="C16" s="9"/>
      <c r="D16" s="10" t="str">
        <f t="shared" si="0"/>
        <v/>
      </c>
      <c r="E16" s="10" t="str">
        <f>IF(D16="","",D16-SETUP!$B$4)</f>
        <v/>
      </c>
      <c r="F16" s="10">
        <f>SETUP!$B$3</f>
        <v>0.45</v>
      </c>
      <c r="G16" s="10" t="str">
        <f t="shared" si="1"/>
        <v/>
      </c>
      <c r="H16" s="11" t="str">
        <f t="shared" si="2"/>
        <v/>
      </c>
    </row>
    <row r="17" spans="1:8" x14ac:dyDescent="0.3">
      <c r="A17" s="8"/>
      <c r="B17" s="9"/>
      <c r="C17" s="9"/>
      <c r="D17" s="10" t="str">
        <f t="shared" si="0"/>
        <v/>
      </c>
      <c r="E17" s="10" t="str">
        <f>IF(D17="","",D17-SETUP!$B$4)</f>
        <v/>
      </c>
      <c r="F17" s="10">
        <f>SETUP!$B$3</f>
        <v>0.45</v>
      </c>
      <c r="G17" s="10" t="str">
        <f t="shared" si="1"/>
        <v/>
      </c>
      <c r="H17" s="11" t="str">
        <f t="shared" si="2"/>
        <v/>
      </c>
    </row>
    <row r="18" spans="1:8" x14ac:dyDescent="0.3">
      <c r="A18" s="8"/>
      <c r="B18" s="9"/>
      <c r="C18" s="9"/>
      <c r="D18" s="10" t="str">
        <f t="shared" si="0"/>
        <v/>
      </c>
      <c r="E18" s="10" t="str">
        <f>IF(D18="","",D18-SETUP!$B$4)</f>
        <v/>
      </c>
      <c r="F18" s="10">
        <f>SETUP!$B$3</f>
        <v>0.45</v>
      </c>
      <c r="G18" s="10" t="str">
        <f t="shared" si="1"/>
        <v/>
      </c>
      <c r="H18" s="11" t="str">
        <f t="shared" si="2"/>
        <v/>
      </c>
    </row>
    <row r="19" spans="1:8" x14ac:dyDescent="0.3">
      <c r="A19" s="8"/>
      <c r="B19" s="9"/>
      <c r="C19" s="9"/>
      <c r="D19" s="10" t="str">
        <f t="shared" si="0"/>
        <v/>
      </c>
      <c r="E19" s="10" t="str">
        <f>IF(D19="","",D19-SETUP!$B$4)</f>
        <v/>
      </c>
      <c r="F19" s="10">
        <f>SETUP!$B$3</f>
        <v>0.45</v>
      </c>
      <c r="G19" s="10" t="str">
        <f t="shared" si="1"/>
        <v/>
      </c>
      <c r="H19" s="11" t="str">
        <f t="shared" si="2"/>
        <v/>
      </c>
    </row>
    <row r="20" spans="1:8" x14ac:dyDescent="0.3">
      <c r="A20" s="8"/>
      <c r="B20" s="9"/>
      <c r="C20" s="9"/>
      <c r="D20" s="10" t="str">
        <f t="shared" si="0"/>
        <v/>
      </c>
      <c r="E20" s="10" t="str">
        <f>IF(D20="","",D20-SETUP!$B$4)</f>
        <v/>
      </c>
      <c r="F20" s="10">
        <f>SETUP!$B$3</f>
        <v>0.45</v>
      </c>
      <c r="G20" s="10" t="str">
        <f t="shared" si="1"/>
        <v/>
      </c>
      <c r="H20" s="11" t="str">
        <f t="shared" si="2"/>
        <v/>
      </c>
    </row>
    <row r="21" spans="1:8" x14ac:dyDescent="0.3">
      <c r="A21" s="8"/>
      <c r="B21" s="9"/>
      <c r="C21" s="9"/>
      <c r="D21" s="10" t="str">
        <f t="shared" si="0"/>
        <v/>
      </c>
      <c r="E21" s="10" t="str">
        <f>IF(D21="","",D21-SETUP!$B$4)</f>
        <v/>
      </c>
      <c r="F21" s="10">
        <f>SETUP!$B$3</f>
        <v>0.45</v>
      </c>
      <c r="G21" s="10" t="str">
        <f t="shared" si="1"/>
        <v/>
      </c>
      <c r="H21" s="11" t="str">
        <f t="shared" si="2"/>
        <v/>
      </c>
    </row>
    <row r="22" spans="1:8" x14ac:dyDescent="0.3">
      <c r="A22" s="8"/>
      <c r="B22" s="9"/>
      <c r="C22" s="9"/>
      <c r="D22" s="10" t="str">
        <f t="shared" si="0"/>
        <v/>
      </c>
      <c r="E22" s="10" t="str">
        <f>IF(D22="","",D22-SETUP!$B$4)</f>
        <v/>
      </c>
      <c r="F22" s="10">
        <f>SETUP!$B$3</f>
        <v>0.45</v>
      </c>
      <c r="G22" s="10" t="str">
        <f t="shared" si="1"/>
        <v/>
      </c>
      <c r="H22" s="11" t="str">
        <f t="shared" si="2"/>
        <v/>
      </c>
    </row>
    <row r="23" spans="1:8" x14ac:dyDescent="0.3">
      <c r="A23" s="8"/>
      <c r="B23" s="9"/>
      <c r="C23" s="9"/>
      <c r="D23" s="10" t="str">
        <f t="shared" si="0"/>
        <v/>
      </c>
      <c r="E23" s="10" t="str">
        <f>IF(D23="","",D23-SETUP!$B$4)</f>
        <v/>
      </c>
      <c r="F23" s="10">
        <f>SETUP!$B$3</f>
        <v>0.45</v>
      </c>
      <c r="G23" s="10" t="str">
        <f t="shared" si="1"/>
        <v/>
      </c>
      <c r="H23" s="11" t="str">
        <f t="shared" si="2"/>
        <v/>
      </c>
    </row>
    <row r="24" spans="1:8" x14ac:dyDescent="0.3">
      <c r="A24" s="8"/>
      <c r="B24" s="9"/>
      <c r="C24" s="9"/>
      <c r="D24" s="10" t="str">
        <f t="shared" si="0"/>
        <v/>
      </c>
      <c r="E24" s="10" t="str">
        <f>IF(D24="","",D24-SETUP!$B$4)</f>
        <v/>
      </c>
      <c r="F24" s="10">
        <f>SETUP!$B$3</f>
        <v>0.45</v>
      </c>
      <c r="G24" s="10" t="str">
        <f t="shared" si="1"/>
        <v/>
      </c>
      <c r="H24" s="11" t="str">
        <f t="shared" si="2"/>
        <v/>
      </c>
    </row>
    <row r="25" spans="1:8" x14ac:dyDescent="0.3">
      <c r="A25" s="8"/>
      <c r="B25" s="9"/>
      <c r="C25" s="9"/>
      <c r="D25" s="10" t="str">
        <f t="shared" si="0"/>
        <v/>
      </c>
      <c r="E25" s="10" t="str">
        <f>IF(D25="","",D25-SETUP!$B$4)</f>
        <v/>
      </c>
      <c r="F25" s="10">
        <f>SETUP!$B$3</f>
        <v>0.45</v>
      </c>
      <c r="G25" s="10" t="str">
        <f t="shared" si="1"/>
        <v/>
      </c>
      <c r="H25" s="11" t="str">
        <f t="shared" si="2"/>
        <v/>
      </c>
    </row>
    <row r="26" spans="1:8" x14ac:dyDescent="0.3">
      <c r="A26" s="8"/>
      <c r="B26" s="9"/>
      <c r="C26" s="9"/>
      <c r="D26" s="10" t="str">
        <f t="shared" si="0"/>
        <v/>
      </c>
      <c r="E26" s="10" t="str">
        <f>IF(D26="","",D26-SETUP!$B$4)</f>
        <v/>
      </c>
      <c r="F26" s="10">
        <f>SETUP!$B$3</f>
        <v>0.45</v>
      </c>
      <c r="G26" s="10" t="str">
        <f t="shared" si="1"/>
        <v/>
      </c>
      <c r="H26" s="11" t="str">
        <f t="shared" si="2"/>
        <v/>
      </c>
    </row>
    <row r="27" spans="1:8" x14ac:dyDescent="0.3">
      <c r="A27" s="8"/>
      <c r="B27" s="9"/>
      <c r="C27" s="9"/>
      <c r="D27" s="10" t="str">
        <f t="shared" si="0"/>
        <v/>
      </c>
      <c r="E27" s="10" t="str">
        <f>IF(D27="","",D27-SETUP!$B$4)</f>
        <v/>
      </c>
      <c r="F27" s="10">
        <f>SETUP!$B$3</f>
        <v>0.45</v>
      </c>
      <c r="G27" s="10" t="str">
        <f t="shared" si="1"/>
        <v/>
      </c>
      <c r="H27" s="11" t="str">
        <f t="shared" si="2"/>
        <v/>
      </c>
    </row>
    <row r="28" spans="1:8" x14ac:dyDescent="0.3">
      <c r="A28" s="8"/>
      <c r="B28" s="9"/>
      <c r="C28" s="9"/>
      <c r="D28" s="10" t="str">
        <f t="shared" si="0"/>
        <v/>
      </c>
      <c r="E28" s="10" t="str">
        <f>IF(D28="","",D28-SETUP!$B$4)</f>
        <v/>
      </c>
      <c r="F28" s="10">
        <f>SETUP!$B$3</f>
        <v>0.45</v>
      </c>
      <c r="G28" s="10" t="str">
        <f t="shared" si="1"/>
        <v/>
      </c>
      <c r="H28" s="11" t="str">
        <f t="shared" si="2"/>
        <v/>
      </c>
    </row>
    <row r="29" spans="1:8" x14ac:dyDescent="0.3">
      <c r="A29" s="8"/>
      <c r="B29" s="9"/>
      <c r="C29" s="9"/>
      <c r="D29" s="10" t="str">
        <f t="shared" si="0"/>
        <v/>
      </c>
      <c r="E29" s="10" t="str">
        <f>IF(D29="","",D29-SETUP!$B$4)</f>
        <v/>
      </c>
      <c r="F29" s="10">
        <f>SETUP!$B$3</f>
        <v>0.45</v>
      </c>
      <c r="G29" s="10" t="str">
        <f t="shared" si="1"/>
        <v/>
      </c>
      <c r="H29" s="11" t="str">
        <f t="shared" si="2"/>
        <v/>
      </c>
    </row>
    <row r="30" spans="1:8" x14ac:dyDescent="0.3">
      <c r="A30" s="8"/>
      <c r="B30" s="9"/>
      <c r="C30" s="9"/>
      <c r="D30" s="10" t="str">
        <f t="shared" si="0"/>
        <v/>
      </c>
      <c r="E30" s="10" t="str">
        <f>IF(D30="","",D30-SETUP!$B$4)</f>
        <v/>
      </c>
      <c r="F30" s="10">
        <f>SETUP!$B$3</f>
        <v>0.45</v>
      </c>
      <c r="G30" s="10" t="str">
        <f t="shared" si="1"/>
        <v/>
      </c>
      <c r="H30" s="11" t="str">
        <f t="shared" si="2"/>
        <v/>
      </c>
    </row>
    <row r="31" spans="1:8" x14ac:dyDescent="0.3">
      <c r="A31" s="8"/>
      <c r="B31" s="9"/>
      <c r="C31" s="9"/>
      <c r="D31" s="10" t="str">
        <f t="shared" si="0"/>
        <v/>
      </c>
      <c r="E31" s="10" t="str">
        <f>IF(D31="","",D31-SETUP!$B$4)</f>
        <v/>
      </c>
      <c r="F31" s="10">
        <f>SETUP!$B$3</f>
        <v>0.45</v>
      </c>
      <c r="G31" s="10" t="str">
        <f t="shared" si="1"/>
        <v/>
      </c>
      <c r="H31" s="11" t="str">
        <f t="shared" si="2"/>
        <v/>
      </c>
    </row>
    <row r="32" spans="1:8" x14ac:dyDescent="0.3">
      <c r="A32" s="8"/>
      <c r="B32" s="9"/>
      <c r="C32" s="9"/>
      <c r="D32" s="10" t="str">
        <f t="shared" si="0"/>
        <v/>
      </c>
      <c r="E32" s="10" t="str">
        <f>IF(D32="","",D32-SETUP!$B$4)</f>
        <v/>
      </c>
      <c r="F32" s="10">
        <f>SETUP!$B$3</f>
        <v>0.45</v>
      </c>
      <c r="G32" s="10" t="str">
        <f t="shared" si="1"/>
        <v/>
      </c>
      <c r="H32" s="11" t="str">
        <f t="shared" si="2"/>
        <v/>
      </c>
    </row>
    <row r="33" spans="1:8" x14ac:dyDescent="0.3">
      <c r="A33" s="8"/>
      <c r="B33" s="9"/>
      <c r="C33" s="9"/>
      <c r="D33" s="10" t="str">
        <f t="shared" si="0"/>
        <v/>
      </c>
      <c r="E33" s="10" t="str">
        <f>IF(D33="","",D33-SETUP!$B$4)</f>
        <v/>
      </c>
      <c r="F33" s="10">
        <f>SETUP!$B$3</f>
        <v>0.45</v>
      </c>
      <c r="G33" s="10" t="str">
        <f t="shared" si="1"/>
        <v/>
      </c>
      <c r="H33" s="11" t="str">
        <f t="shared" si="2"/>
        <v/>
      </c>
    </row>
    <row r="34" spans="1:8" x14ac:dyDescent="0.3">
      <c r="A34" s="8"/>
      <c r="B34" s="9"/>
      <c r="C34" s="9"/>
      <c r="D34" s="10" t="str">
        <f t="shared" si="0"/>
        <v/>
      </c>
      <c r="E34" s="10" t="str">
        <f>IF(D34="","",D34-SETUP!$B$4)</f>
        <v/>
      </c>
      <c r="F34" s="10">
        <f>SETUP!$B$3</f>
        <v>0.45</v>
      </c>
      <c r="G34" s="10" t="str">
        <f t="shared" si="1"/>
        <v/>
      </c>
      <c r="H34" s="11" t="str">
        <f t="shared" si="2"/>
        <v/>
      </c>
    </row>
    <row r="35" spans="1:8" x14ac:dyDescent="0.3">
      <c r="A35" s="8"/>
      <c r="B35" s="9"/>
      <c r="C35" s="9"/>
      <c r="D35" s="10" t="str">
        <f t="shared" si="0"/>
        <v/>
      </c>
      <c r="E35" s="10" t="str">
        <f>IF(D35="","",D35-SETUP!$B$4)</f>
        <v/>
      </c>
      <c r="F35" s="10">
        <f>SETUP!$B$3</f>
        <v>0.45</v>
      </c>
      <c r="G35" s="10" t="str">
        <f t="shared" si="1"/>
        <v/>
      </c>
      <c r="H35" s="11" t="str">
        <f t="shared" si="2"/>
        <v/>
      </c>
    </row>
    <row r="36" spans="1:8" x14ac:dyDescent="0.3">
      <c r="A36" s="8"/>
      <c r="B36" s="9"/>
      <c r="C36" s="9"/>
      <c r="D36" s="10" t="str">
        <f t="shared" si="0"/>
        <v/>
      </c>
      <c r="E36" s="10" t="str">
        <f>IF(D36="","",D36-SETUP!$B$4)</f>
        <v/>
      </c>
      <c r="F36" s="10">
        <f>SETUP!$B$3</f>
        <v>0.45</v>
      </c>
      <c r="G36" s="10" t="str">
        <f t="shared" si="1"/>
        <v/>
      </c>
      <c r="H36" s="11" t="str">
        <f t="shared" si="2"/>
        <v/>
      </c>
    </row>
    <row r="37" spans="1:8" x14ac:dyDescent="0.3">
      <c r="A37" s="8"/>
      <c r="B37" s="9"/>
      <c r="C37" s="9"/>
      <c r="D37" s="10" t="str">
        <f t="shared" si="0"/>
        <v/>
      </c>
      <c r="E37" s="10" t="str">
        <f>IF(D37="","",D37-SETUP!$B$4)</f>
        <v/>
      </c>
      <c r="F37" s="10">
        <f>SETUP!$B$3</f>
        <v>0.45</v>
      </c>
      <c r="G37" s="10" t="str">
        <f t="shared" si="1"/>
        <v/>
      </c>
      <c r="H37" s="11" t="str">
        <f t="shared" si="2"/>
        <v/>
      </c>
    </row>
    <row r="38" spans="1:8" x14ac:dyDescent="0.3">
      <c r="A38" s="8"/>
      <c r="B38" s="9"/>
      <c r="C38" s="9"/>
      <c r="D38" s="10" t="str">
        <f t="shared" si="0"/>
        <v/>
      </c>
      <c r="E38" s="10" t="str">
        <f>IF(D38="","",D38-SETUP!$B$4)</f>
        <v/>
      </c>
      <c r="F38" s="10">
        <f>SETUP!$B$3</f>
        <v>0.45</v>
      </c>
      <c r="G38" s="10" t="str">
        <f t="shared" si="1"/>
        <v/>
      </c>
      <c r="H38" s="11" t="str">
        <f t="shared" si="2"/>
        <v/>
      </c>
    </row>
    <row r="39" spans="1:8" x14ac:dyDescent="0.3">
      <c r="A39" s="8"/>
      <c r="B39" s="9"/>
      <c r="C39" s="9"/>
      <c r="D39" s="10" t="str">
        <f t="shared" si="0"/>
        <v/>
      </c>
      <c r="E39" s="10" t="str">
        <f>IF(D39="","",D39-SETUP!$B$4)</f>
        <v/>
      </c>
      <c r="F39" s="10">
        <f>SETUP!$B$3</f>
        <v>0.45</v>
      </c>
      <c r="G39" s="10" t="str">
        <f t="shared" si="1"/>
        <v/>
      </c>
      <c r="H39" s="11" t="str">
        <f t="shared" si="2"/>
        <v/>
      </c>
    </row>
    <row r="40" spans="1:8" x14ac:dyDescent="0.3">
      <c r="A40" s="8"/>
      <c r="B40" s="9"/>
      <c r="C40" s="9"/>
      <c r="D40" s="10" t="str">
        <f t="shared" si="0"/>
        <v/>
      </c>
      <c r="E40" s="10" t="str">
        <f>IF(D40="","",D40-SETUP!$B$4)</f>
        <v/>
      </c>
      <c r="F40" s="10">
        <f>SETUP!$B$3</f>
        <v>0.45</v>
      </c>
      <c r="G40" s="10" t="str">
        <f t="shared" si="1"/>
        <v/>
      </c>
      <c r="H40" s="11" t="str">
        <f t="shared" si="2"/>
        <v/>
      </c>
    </row>
    <row r="41" spans="1:8" x14ac:dyDescent="0.3">
      <c r="A41" s="8"/>
      <c r="B41" s="9"/>
      <c r="C41" s="9"/>
      <c r="D41" s="10" t="str">
        <f t="shared" si="0"/>
        <v/>
      </c>
      <c r="E41" s="10" t="str">
        <f>IF(D41="","",D41-SETUP!$B$4)</f>
        <v/>
      </c>
      <c r="F41" s="10">
        <f>SETUP!$B$3</f>
        <v>0.45</v>
      </c>
      <c r="G41" s="10" t="str">
        <f t="shared" si="1"/>
        <v/>
      </c>
      <c r="H41" s="11" t="str">
        <f t="shared" si="2"/>
        <v/>
      </c>
    </row>
    <row r="42" spans="1:8" x14ac:dyDescent="0.3">
      <c r="A42" s="8"/>
      <c r="B42" s="9"/>
      <c r="C42" s="9"/>
      <c r="D42" s="10" t="str">
        <f t="shared" si="0"/>
        <v/>
      </c>
      <c r="E42" s="10" t="str">
        <f>IF(D42="","",D42-SETUP!$B$4)</f>
        <v/>
      </c>
      <c r="F42" s="10">
        <f>SETUP!$B$3</f>
        <v>0.45</v>
      </c>
      <c r="G42" s="10" t="str">
        <f t="shared" si="1"/>
        <v/>
      </c>
      <c r="H42" s="11" t="str">
        <f t="shared" si="2"/>
        <v/>
      </c>
    </row>
    <row r="43" spans="1:8" x14ac:dyDescent="0.3">
      <c r="A43" s="8"/>
      <c r="B43" s="9"/>
      <c r="C43" s="9"/>
      <c r="D43" s="10" t="str">
        <f t="shared" si="0"/>
        <v/>
      </c>
      <c r="E43" s="10" t="str">
        <f>IF(D43="","",D43-SETUP!$B$4)</f>
        <v/>
      </c>
      <c r="F43" s="10">
        <f>SETUP!$B$3</f>
        <v>0.45</v>
      </c>
      <c r="G43" s="10" t="str">
        <f t="shared" si="1"/>
        <v/>
      </c>
      <c r="H43" s="11" t="str">
        <f t="shared" si="2"/>
        <v/>
      </c>
    </row>
    <row r="44" spans="1:8" x14ac:dyDescent="0.3">
      <c r="A44" s="8"/>
      <c r="B44" s="9"/>
      <c r="C44" s="9"/>
      <c r="D44" s="10" t="str">
        <f t="shared" si="0"/>
        <v/>
      </c>
      <c r="E44" s="10" t="str">
        <f>IF(D44="","",D44-SETUP!$B$4)</f>
        <v/>
      </c>
      <c r="F44" s="10">
        <f>SETUP!$B$3</f>
        <v>0.45</v>
      </c>
      <c r="G44" s="10" t="str">
        <f t="shared" si="1"/>
        <v/>
      </c>
      <c r="H44" s="11" t="str">
        <f t="shared" si="2"/>
        <v/>
      </c>
    </row>
    <row r="45" spans="1:8" x14ac:dyDescent="0.3">
      <c r="A45" s="8"/>
      <c r="B45" s="9"/>
      <c r="C45" s="9"/>
      <c r="D45" s="10" t="str">
        <f t="shared" si="0"/>
        <v/>
      </c>
      <c r="E45" s="10" t="str">
        <f>IF(D45="","",D45-SETUP!$B$4)</f>
        <v/>
      </c>
      <c r="F45" s="10">
        <f>SETUP!$B$3</f>
        <v>0.45</v>
      </c>
      <c r="G45" s="10" t="str">
        <f t="shared" si="1"/>
        <v/>
      </c>
      <c r="H45" s="11" t="str">
        <f t="shared" si="2"/>
        <v/>
      </c>
    </row>
    <row r="46" spans="1:8" x14ac:dyDescent="0.3">
      <c r="A46" s="8"/>
      <c r="B46" s="9"/>
      <c r="C46" s="9"/>
      <c r="D46" s="10" t="str">
        <f t="shared" si="0"/>
        <v/>
      </c>
      <c r="E46" s="10" t="str">
        <f>IF(D46="","",D46-SETUP!$B$4)</f>
        <v/>
      </c>
      <c r="F46" s="10">
        <f>SETUP!$B$3</f>
        <v>0.45</v>
      </c>
      <c r="G46" s="10" t="str">
        <f t="shared" si="1"/>
        <v/>
      </c>
      <c r="H46" s="11" t="str">
        <f t="shared" si="2"/>
        <v/>
      </c>
    </row>
    <row r="47" spans="1:8" x14ac:dyDescent="0.3">
      <c r="A47" s="8"/>
      <c r="B47" s="9"/>
      <c r="C47" s="9"/>
      <c r="D47" s="10" t="str">
        <f t="shared" si="0"/>
        <v/>
      </c>
      <c r="E47" s="10" t="str">
        <f>IF(D47="","",D47-SETUP!$B$4)</f>
        <v/>
      </c>
      <c r="F47" s="10">
        <f>SETUP!$B$3</f>
        <v>0.45</v>
      </c>
      <c r="G47" s="10" t="str">
        <f t="shared" si="1"/>
        <v/>
      </c>
      <c r="H47" s="11" t="str">
        <f t="shared" si="2"/>
        <v/>
      </c>
    </row>
    <row r="48" spans="1:8" x14ac:dyDescent="0.3">
      <c r="A48" s="8"/>
      <c r="B48" s="9"/>
      <c r="C48" s="9"/>
      <c r="D48" s="10" t="str">
        <f t="shared" si="0"/>
        <v/>
      </c>
      <c r="E48" s="10" t="str">
        <f>IF(D48="","",D48-SETUP!$B$4)</f>
        <v/>
      </c>
      <c r="F48" s="10">
        <f>SETUP!$B$3</f>
        <v>0.45</v>
      </c>
      <c r="G48" s="10" t="str">
        <f t="shared" si="1"/>
        <v/>
      </c>
      <c r="H48" s="11" t="str">
        <f t="shared" si="2"/>
        <v/>
      </c>
    </row>
    <row r="49" spans="1:8" x14ac:dyDescent="0.3">
      <c r="A49" s="8"/>
      <c r="B49" s="9"/>
      <c r="C49" s="9"/>
      <c r="D49" s="10" t="str">
        <f t="shared" si="0"/>
        <v/>
      </c>
      <c r="E49" s="10" t="str">
        <f>IF(D49="","",D49-SETUP!$B$4)</f>
        <v/>
      </c>
      <c r="F49" s="10">
        <f>SETUP!$B$3</f>
        <v>0.45</v>
      </c>
      <c r="G49" s="10" t="str">
        <f t="shared" si="1"/>
        <v/>
      </c>
      <c r="H49" s="11" t="str">
        <f t="shared" si="2"/>
        <v/>
      </c>
    </row>
    <row r="50" spans="1:8" x14ac:dyDescent="0.3">
      <c r="A50" s="8"/>
      <c r="B50" s="9"/>
      <c r="C50" s="9"/>
      <c r="D50" s="10" t="str">
        <f t="shared" si="0"/>
        <v/>
      </c>
      <c r="E50" s="10" t="str">
        <f>IF(D50="","",D50-SETUP!$B$4)</f>
        <v/>
      </c>
      <c r="F50" s="10">
        <f>SETUP!$B$3</f>
        <v>0.45</v>
      </c>
      <c r="G50" s="10" t="str">
        <f t="shared" si="1"/>
        <v/>
      </c>
      <c r="H50" s="11" t="str">
        <f t="shared" si="2"/>
        <v/>
      </c>
    </row>
    <row r="51" spans="1:8" x14ac:dyDescent="0.3">
      <c r="A51" s="8"/>
      <c r="B51" s="9"/>
      <c r="C51" s="9"/>
      <c r="D51" s="10" t="str">
        <f t="shared" si="0"/>
        <v/>
      </c>
      <c r="E51" s="10" t="str">
        <f>IF(D51="","",D51-SETUP!$B$4)</f>
        <v/>
      </c>
      <c r="F51" s="10">
        <f>SETUP!$B$3</f>
        <v>0.45</v>
      </c>
      <c r="G51" s="10" t="str">
        <f t="shared" si="1"/>
        <v/>
      </c>
      <c r="H51" s="11" t="str">
        <f t="shared" si="2"/>
        <v/>
      </c>
    </row>
    <row r="52" spans="1:8" x14ac:dyDescent="0.3">
      <c r="A52" s="8"/>
      <c r="B52" s="9"/>
      <c r="C52" s="9"/>
      <c r="D52" s="10" t="str">
        <f t="shared" si="0"/>
        <v/>
      </c>
      <c r="E52" s="10" t="str">
        <f>IF(D52="","",D52-SETUP!$B$4)</f>
        <v/>
      </c>
      <c r="F52" s="10">
        <f>SETUP!$B$3</f>
        <v>0.45</v>
      </c>
      <c r="G52" s="10" t="str">
        <f t="shared" si="1"/>
        <v/>
      </c>
      <c r="H52" s="11" t="str">
        <f t="shared" si="2"/>
        <v/>
      </c>
    </row>
    <row r="53" spans="1:8" x14ac:dyDescent="0.3">
      <c r="A53" s="8"/>
      <c r="B53" s="9"/>
      <c r="C53" s="9"/>
      <c r="D53" s="10" t="str">
        <f t="shared" si="0"/>
        <v/>
      </c>
      <c r="E53" s="10" t="str">
        <f>IF(D53="","",D53-SETUP!$B$4)</f>
        <v/>
      </c>
      <c r="F53" s="10">
        <f>SETUP!$B$3</f>
        <v>0.45</v>
      </c>
      <c r="G53" s="10" t="str">
        <f t="shared" si="1"/>
        <v/>
      </c>
      <c r="H53" s="11" t="str">
        <f t="shared" si="2"/>
        <v/>
      </c>
    </row>
    <row r="54" spans="1:8" x14ac:dyDescent="0.3">
      <c r="A54" s="8"/>
      <c r="B54" s="9"/>
      <c r="C54" s="9"/>
      <c r="D54" s="10" t="str">
        <f t="shared" si="0"/>
        <v/>
      </c>
      <c r="E54" s="10" t="str">
        <f>IF(D54="","",D54-SETUP!$B$4)</f>
        <v/>
      </c>
      <c r="F54" s="10">
        <f>SETUP!$B$3</f>
        <v>0.45</v>
      </c>
      <c r="G54" s="10" t="str">
        <f t="shared" si="1"/>
        <v/>
      </c>
      <c r="H54" s="11" t="str">
        <f t="shared" si="2"/>
        <v/>
      </c>
    </row>
    <row r="55" spans="1:8" x14ac:dyDescent="0.3">
      <c r="A55" s="8"/>
      <c r="B55" s="9"/>
      <c r="C55" s="9"/>
      <c r="D55" s="10" t="str">
        <f t="shared" si="0"/>
        <v/>
      </c>
      <c r="E55" s="10" t="str">
        <f>IF(D55="","",D55-SETUP!$B$4)</f>
        <v/>
      </c>
      <c r="F55" s="10">
        <f>SETUP!$B$3</f>
        <v>0.45</v>
      </c>
      <c r="G55" s="10" t="str">
        <f t="shared" si="1"/>
        <v/>
      </c>
      <c r="H55" s="11" t="str">
        <f t="shared" si="2"/>
        <v/>
      </c>
    </row>
    <row r="56" spans="1:8" x14ac:dyDescent="0.3">
      <c r="A56" s="8"/>
      <c r="B56" s="9"/>
      <c r="C56" s="9"/>
      <c r="D56" s="10" t="str">
        <f t="shared" si="0"/>
        <v/>
      </c>
      <c r="E56" s="10" t="str">
        <f>IF(D56="","",D56-SETUP!$B$4)</f>
        <v/>
      </c>
      <c r="F56" s="10">
        <f>SETUP!$B$3</f>
        <v>0.45</v>
      </c>
      <c r="G56" s="10" t="str">
        <f t="shared" si="1"/>
        <v/>
      </c>
      <c r="H56" s="11" t="str">
        <f t="shared" si="2"/>
        <v/>
      </c>
    </row>
    <row r="57" spans="1:8" x14ac:dyDescent="0.3">
      <c r="A57" s="8"/>
      <c r="B57" s="9"/>
      <c r="C57" s="9"/>
      <c r="D57" s="10" t="str">
        <f t="shared" si="0"/>
        <v/>
      </c>
      <c r="E57" s="10" t="str">
        <f>IF(D57="","",D57-SETUP!$B$4)</f>
        <v/>
      </c>
      <c r="F57" s="10">
        <f>SETUP!$B$3</f>
        <v>0.45</v>
      </c>
      <c r="G57" s="10" t="str">
        <f t="shared" si="1"/>
        <v/>
      </c>
      <c r="H57" s="11" t="str">
        <f t="shared" si="2"/>
        <v/>
      </c>
    </row>
    <row r="58" spans="1:8" x14ac:dyDescent="0.3">
      <c r="A58" s="8"/>
      <c r="B58" s="9"/>
      <c r="C58" s="9"/>
      <c r="D58" s="10" t="str">
        <f t="shared" si="0"/>
        <v/>
      </c>
      <c r="E58" s="10" t="str">
        <f>IF(D58="","",D58-SETUP!$B$4)</f>
        <v/>
      </c>
      <c r="F58" s="10">
        <f>SETUP!$B$3</f>
        <v>0.45</v>
      </c>
      <c r="G58" s="10" t="str">
        <f t="shared" si="1"/>
        <v/>
      </c>
      <c r="H58" s="11" t="str">
        <f t="shared" si="2"/>
        <v/>
      </c>
    </row>
    <row r="59" spans="1:8" x14ac:dyDescent="0.3">
      <c r="A59" s="8"/>
      <c r="B59" s="9"/>
      <c r="C59" s="9"/>
      <c r="D59" s="10" t="str">
        <f t="shared" si="0"/>
        <v/>
      </c>
      <c r="E59" s="10" t="str">
        <f>IF(D59="","",D59-SETUP!$B$4)</f>
        <v/>
      </c>
      <c r="F59" s="10">
        <f>SETUP!$B$3</f>
        <v>0.45</v>
      </c>
      <c r="G59" s="10" t="str">
        <f t="shared" si="1"/>
        <v/>
      </c>
      <c r="H59" s="11" t="str">
        <f t="shared" si="2"/>
        <v/>
      </c>
    </row>
    <row r="60" spans="1:8" x14ac:dyDescent="0.3">
      <c r="A60" s="8"/>
      <c r="B60" s="9"/>
      <c r="C60" s="9"/>
      <c r="D60" s="10" t="str">
        <f t="shared" si="0"/>
        <v/>
      </c>
      <c r="E60" s="10" t="str">
        <f>IF(D60="","",D60-SETUP!$B$4)</f>
        <v/>
      </c>
      <c r="F60" s="10">
        <f>SETUP!$B$3</f>
        <v>0.45</v>
      </c>
      <c r="G60" s="10" t="str">
        <f t="shared" si="1"/>
        <v/>
      </c>
      <c r="H60" s="11" t="str">
        <f t="shared" si="2"/>
        <v/>
      </c>
    </row>
    <row r="61" spans="1:8" x14ac:dyDescent="0.3">
      <c r="A61" s="8"/>
      <c r="B61" s="9"/>
      <c r="C61" s="9"/>
      <c r="D61" s="10" t="str">
        <f t="shared" si="0"/>
        <v/>
      </c>
      <c r="E61" s="10" t="str">
        <f>IF(D61="","",D61-SETUP!$B$4)</f>
        <v/>
      </c>
      <c r="F61" s="10">
        <f>SETUP!$B$3</f>
        <v>0.45</v>
      </c>
      <c r="G61" s="10" t="str">
        <f t="shared" si="1"/>
        <v/>
      </c>
      <c r="H61" s="11" t="str">
        <f t="shared" si="2"/>
        <v/>
      </c>
    </row>
    <row r="62" spans="1:8" x14ac:dyDescent="0.3">
      <c r="A62" s="8"/>
      <c r="B62" s="9"/>
      <c r="C62" s="9"/>
      <c r="D62" s="10" t="str">
        <f t="shared" si="0"/>
        <v/>
      </c>
      <c r="E62" s="10" t="str">
        <f>IF(D62="","",D62-SETUP!$B$4)</f>
        <v/>
      </c>
      <c r="F62" s="10">
        <f>SETUP!$B$3</f>
        <v>0.45</v>
      </c>
      <c r="G62" s="10" t="str">
        <f t="shared" si="1"/>
        <v/>
      </c>
      <c r="H62" s="11" t="str">
        <f t="shared" si="2"/>
        <v/>
      </c>
    </row>
    <row r="63" spans="1:8" x14ac:dyDescent="0.3">
      <c r="A63" s="8"/>
      <c r="B63" s="9"/>
      <c r="C63" s="9"/>
      <c r="D63" s="10" t="str">
        <f t="shared" si="0"/>
        <v/>
      </c>
      <c r="E63" s="10" t="str">
        <f>IF(D63="","",D63-SETUP!$B$4)</f>
        <v/>
      </c>
      <c r="F63" s="10">
        <f>SETUP!$B$3</f>
        <v>0.45</v>
      </c>
      <c r="G63" s="10" t="str">
        <f t="shared" si="1"/>
        <v/>
      </c>
      <c r="H63" s="11" t="str">
        <f t="shared" si="2"/>
        <v/>
      </c>
    </row>
    <row r="64" spans="1:8" x14ac:dyDescent="0.3">
      <c r="A64" s="8"/>
      <c r="B64" s="9"/>
      <c r="C64" s="9"/>
      <c r="D64" s="10" t="str">
        <f t="shared" si="0"/>
        <v/>
      </c>
      <c r="E64" s="10" t="str">
        <f>IF(D64="","",D64-SETUP!$B$4)</f>
        <v/>
      </c>
      <c r="F64" s="10">
        <f>SETUP!$B$3</f>
        <v>0.45</v>
      </c>
      <c r="G64" s="10" t="str">
        <f t="shared" si="1"/>
        <v/>
      </c>
      <c r="H64" s="11" t="str">
        <f t="shared" si="2"/>
        <v/>
      </c>
    </row>
    <row r="65" spans="1:8" x14ac:dyDescent="0.3">
      <c r="A65" s="8"/>
      <c r="B65" s="9"/>
      <c r="C65" s="9"/>
      <c r="D65" s="10" t="str">
        <f t="shared" si="0"/>
        <v/>
      </c>
      <c r="E65" s="10" t="str">
        <f>IF(D65="","",D65-SETUP!$B$4)</f>
        <v/>
      </c>
      <c r="F65" s="10">
        <f>SETUP!$B$3</f>
        <v>0.45</v>
      </c>
      <c r="G65" s="10" t="str">
        <f t="shared" si="1"/>
        <v/>
      </c>
      <c r="H65" s="11" t="str">
        <f t="shared" si="2"/>
        <v/>
      </c>
    </row>
    <row r="66" spans="1:8" x14ac:dyDescent="0.3">
      <c r="A66" s="8"/>
      <c r="B66" s="9"/>
      <c r="C66" s="9"/>
      <c r="D66" s="10" t="str">
        <f t="shared" si="0"/>
        <v/>
      </c>
      <c r="E66" s="10" t="str">
        <f>IF(D66="","",D66-SETUP!$B$4)</f>
        <v/>
      </c>
      <c r="F66" s="10">
        <f>SETUP!$B$3</f>
        <v>0.45</v>
      </c>
      <c r="G66" s="10" t="str">
        <f t="shared" si="1"/>
        <v/>
      </c>
      <c r="H66" s="11" t="str">
        <f t="shared" si="2"/>
        <v/>
      </c>
    </row>
    <row r="67" spans="1:8" x14ac:dyDescent="0.3">
      <c r="A67" s="8"/>
      <c r="B67" s="9"/>
      <c r="C67" s="9"/>
      <c r="D67" s="10" t="str">
        <f t="shared" si="0"/>
        <v/>
      </c>
      <c r="E67" s="10" t="str">
        <f>IF(D67="","",D67-SETUP!$B$4)</f>
        <v/>
      </c>
      <c r="F67" s="10">
        <f>SETUP!$B$3</f>
        <v>0.45</v>
      </c>
      <c r="G67" s="10" t="str">
        <f t="shared" si="1"/>
        <v/>
      </c>
      <c r="H67" s="11" t="str">
        <f t="shared" si="2"/>
        <v/>
      </c>
    </row>
    <row r="68" spans="1:8" x14ac:dyDescent="0.3">
      <c r="A68" s="8"/>
      <c r="B68" s="9"/>
      <c r="C68" s="9"/>
      <c r="D68" s="10" t="str">
        <f t="shared" ref="D68:D131" si="3">IF(B68&gt;0,(B68-C68)/B68,"")</f>
        <v/>
      </c>
      <c r="E68" s="10" t="str">
        <f>IF(D68="","",D68-SETUP!$B$4)</f>
        <v/>
      </c>
      <c r="F68" s="10">
        <f>SETUP!$B$3</f>
        <v>0.45</v>
      </c>
      <c r="G68" s="10" t="str">
        <f t="shared" ref="G68:G131" si="4">IF(E68="","",E68-F68)</f>
        <v/>
      </c>
      <c r="H68" s="11" t="str">
        <f t="shared" ref="H68:H131" si="5">IF(G68="","",IF(G68&lt;0,"BELOW TARGET","ON / ABOVE TARGET"))</f>
        <v/>
      </c>
    </row>
    <row r="69" spans="1:8" x14ac:dyDescent="0.3">
      <c r="A69" s="8"/>
      <c r="B69" s="9"/>
      <c r="C69" s="9"/>
      <c r="D69" s="10" t="str">
        <f t="shared" si="3"/>
        <v/>
      </c>
      <c r="E69" s="10" t="str">
        <f>IF(D69="","",D69-SETUP!$B$4)</f>
        <v/>
      </c>
      <c r="F69" s="10">
        <f>SETUP!$B$3</f>
        <v>0.45</v>
      </c>
      <c r="G69" s="10" t="str">
        <f t="shared" si="4"/>
        <v/>
      </c>
      <c r="H69" s="11" t="str">
        <f t="shared" si="5"/>
        <v/>
      </c>
    </row>
    <row r="70" spans="1:8" x14ac:dyDescent="0.3">
      <c r="A70" s="8"/>
      <c r="B70" s="9"/>
      <c r="C70" s="9"/>
      <c r="D70" s="10" t="str">
        <f t="shared" si="3"/>
        <v/>
      </c>
      <c r="E70" s="10" t="str">
        <f>IF(D70="","",D70-SETUP!$B$4)</f>
        <v/>
      </c>
      <c r="F70" s="10">
        <f>SETUP!$B$3</f>
        <v>0.45</v>
      </c>
      <c r="G70" s="10" t="str">
        <f t="shared" si="4"/>
        <v/>
      </c>
      <c r="H70" s="11" t="str">
        <f t="shared" si="5"/>
        <v/>
      </c>
    </row>
    <row r="71" spans="1:8" x14ac:dyDescent="0.3">
      <c r="A71" s="8"/>
      <c r="B71" s="9"/>
      <c r="C71" s="9"/>
      <c r="D71" s="10" t="str">
        <f t="shared" si="3"/>
        <v/>
      </c>
      <c r="E71" s="10" t="str">
        <f>IF(D71="","",D71-SETUP!$B$4)</f>
        <v/>
      </c>
      <c r="F71" s="10">
        <f>SETUP!$B$3</f>
        <v>0.45</v>
      </c>
      <c r="G71" s="10" t="str">
        <f t="shared" si="4"/>
        <v/>
      </c>
      <c r="H71" s="11" t="str">
        <f t="shared" si="5"/>
        <v/>
      </c>
    </row>
    <row r="72" spans="1:8" x14ac:dyDescent="0.3">
      <c r="A72" s="8"/>
      <c r="B72" s="9"/>
      <c r="C72" s="9"/>
      <c r="D72" s="10" t="str">
        <f t="shared" si="3"/>
        <v/>
      </c>
      <c r="E72" s="10" t="str">
        <f>IF(D72="","",D72-SETUP!$B$4)</f>
        <v/>
      </c>
      <c r="F72" s="10">
        <f>SETUP!$B$3</f>
        <v>0.45</v>
      </c>
      <c r="G72" s="10" t="str">
        <f t="shared" si="4"/>
        <v/>
      </c>
      <c r="H72" s="11" t="str">
        <f t="shared" si="5"/>
        <v/>
      </c>
    </row>
    <row r="73" spans="1:8" x14ac:dyDescent="0.3">
      <c r="A73" s="8"/>
      <c r="B73" s="9"/>
      <c r="C73" s="9"/>
      <c r="D73" s="10" t="str">
        <f t="shared" si="3"/>
        <v/>
      </c>
      <c r="E73" s="10" t="str">
        <f>IF(D73="","",D73-SETUP!$B$4)</f>
        <v/>
      </c>
      <c r="F73" s="10">
        <f>SETUP!$B$3</f>
        <v>0.45</v>
      </c>
      <c r="G73" s="10" t="str">
        <f t="shared" si="4"/>
        <v/>
      </c>
      <c r="H73" s="11" t="str">
        <f t="shared" si="5"/>
        <v/>
      </c>
    </row>
    <row r="74" spans="1:8" x14ac:dyDescent="0.3">
      <c r="A74" s="8"/>
      <c r="B74" s="9"/>
      <c r="C74" s="9"/>
      <c r="D74" s="10" t="str">
        <f t="shared" si="3"/>
        <v/>
      </c>
      <c r="E74" s="10" t="str">
        <f>IF(D74="","",D74-SETUP!$B$4)</f>
        <v/>
      </c>
      <c r="F74" s="10">
        <f>SETUP!$B$3</f>
        <v>0.45</v>
      </c>
      <c r="G74" s="10" t="str">
        <f t="shared" si="4"/>
        <v/>
      </c>
      <c r="H74" s="11" t="str">
        <f t="shared" si="5"/>
        <v/>
      </c>
    </row>
    <row r="75" spans="1:8" x14ac:dyDescent="0.3">
      <c r="A75" s="8"/>
      <c r="B75" s="9"/>
      <c r="C75" s="9"/>
      <c r="D75" s="10" t="str">
        <f t="shared" si="3"/>
        <v/>
      </c>
      <c r="E75" s="10" t="str">
        <f>IF(D75="","",D75-SETUP!$B$4)</f>
        <v/>
      </c>
      <c r="F75" s="10">
        <f>SETUP!$B$3</f>
        <v>0.45</v>
      </c>
      <c r="G75" s="10" t="str">
        <f t="shared" si="4"/>
        <v/>
      </c>
      <c r="H75" s="11" t="str">
        <f t="shared" si="5"/>
        <v/>
      </c>
    </row>
    <row r="76" spans="1:8" x14ac:dyDescent="0.3">
      <c r="A76" s="8"/>
      <c r="B76" s="9"/>
      <c r="C76" s="9"/>
      <c r="D76" s="10" t="str">
        <f t="shared" si="3"/>
        <v/>
      </c>
      <c r="E76" s="10" t="str">
        <f>IF(D76="","",D76-SETUP!$B$4)</f>
        <v/>
      </c>
      <c r="F76" s="10">
        <f>SETUP!$B$3</f>
        <v>0.45</v>
      </c>
      <c r="G76" s="10" t="str">
        <f t="shared" si="4"/>
        <v/>
      </c>
      <c r="H76" s="11" t="str">
        <f t="shared" si="5"/>
        <v/>
      </c>
    </row>
    <row r="77" spans="1:8" x14ac:dyDescent="0.3">
      <c r="A77" s="8"/>
      <c r="B77" s="9"/>
      <c r="C77" s="9"/>
      <c r="D77" s="10" t="str">
        <f t="shared" si="3"/>
        <v/>
      </c>
      <c r="E77" s="10" t="str">
        <f>IF(D77="","",D77-SETUP!$B$4)</f>
        <v/>
      </c>
      <c r="F77" s="10">
        <f>SETUP!$B$3</f>
        <v>0.45</v>
      </c>
      <c r="G77" s="10" t="str">
        <f t="shared" si="4"/>
        <v/>
      </c>
      <c r="H77" s="11" t="str">
        <f t="shared" si="5"/>
        <v/>
      </c>
    </row>
    <row r="78" spans="1:8" x14ac:dyDescent="0.3">
      <c r="A78" s="8"/>
      <c r="B78" s="9"/>
      <c r="C78" s="9"/>
      <c r="D78" s="10" t="str">
        <f t="shared" si="3"/>
        <v/>
      </c>
      <c r="E78" s="10" t="str">
        <f>IF(D78="","",D78-SETUP!$B$4)</f>
        <v/>
      </c>
      <c r="F78" s="10">
        <f>SETUP!$B$3</f>
        <v>0.45</v>
      </c>
      <c r="G78" s="10" t="str">
        <f t="shared" si="4"/>
        <v/>
      </c>
      <c r="H78" s="11" t="str">
        <f t="shared" si="5"/>
        <v/>
      </c>
    </row>
    <row r="79" spans="1:8" x14ac:dyDescent="0.3">
      <c r="A79" s="8"/>
      <c r="B79" s="9"/>
      <c r="C79" s="9"/>
      <c r="D79" s="10" t="str">
        <f t="shared" si="3"/>
        <v/>
      </c>
      <c r="E79" s="10" t="str">
        <f>IF(D79="","",D79-SETUP!$B$4)</f>
        <v/>
      </c>
      <c r="F79" s="10">
        <f>SETUP!$B$3</f>
        <v>0.45</v>
      </c>
      <c r="G79" s="10" t="str">
        <f t="shared" si="4"/>
        <v/>
      </c>
      <c r="H79" s="11" t="str">
        <f t="shared" si="5"/>
        <v/>
      </c>
    </row>
    <row r="80" spans="1:8" x14ac:dyDescent="0.3">
      <c r="A80" s="8"/>
      <c r="B80" s="9"/>
      <c r="C80" s="9"/>
      <c r="D80" s="10" t="str">
        <f t="shared" si="3"/>
        <v/>
      </c>
      <c r="E80" s="10" t="str">
        <f>IF(D80="","",D80-SETUP!$B$4)</f>
        <v/>
      </c>
      <c r="F80" s="10">
        <f>SETUP!$B$3</f>
        <v>0.45</v>
      </c>
      <c r="G80" s="10" t="str">
        <f t="shared" si="4"/>
        <v/>
      </c>
      <c r="H80" s="11" t="str">
        <f t="shared" si="5"/>
        <v/>
      </c>
    </row>
    <row r="81" spans="1:8" x14ac:dyDescent="0.3">
      <c r="A81" s="8"/>
      <c r="B81" s="9"/>
      <c r="C81" s="9"/>
      <c r="D81" s="10" t="str">
        <f t="shared" si="3"/>
        <v/>
      </c>
      <c r="E81" s="10" t="str">
        <f>IF(D81="","",D81-SETUP!$B$4)</f>
        <v/>
      </c>
      <c r="F81" s="10">
        <f>SETUP!$B$3</f>
        <v>0.45</v>
      </c>
      <c r="G81" s="10" t="str">
        <f t="shared" si="4"/>
        <v/>
      </c>
      <c r="H81" s="11" t="str">
        <f t="shared" si="5"/>
        <v/>
      </c>
    </row>
    <row r="82" spans="1:8" x14ac:dyDescent="0.3">
      <c r="A82" s="8"/>
      <c r="B82" s="9"/>
      <c r="C82" s="9"/>
      <c r="D82" s="10" t="str">
        <f t="shared" si="3"/>
        <v/>
      </c>
      <c r="E82" s="10" t="str">
        <f>IF(D82="","",D82-SETUP!$B$4)</f>
        <v/>
      </c>
      <c r="F82" s="10">
        <f>SETUP!$B$3</f>
        <v>0.45</v>
      </c>
      <c r="G82" s="10" t="str">
        <f t="shared" si="4"/>
        <v/>
      </c>
      <c r="H82" s="11" t="str">
        <f t="shared" si="5"/>
        <v/>
      </c>
    </row>
    <row r="83" spans="1:8" x14ac:dyDescent="0.3">
      <c r="A83" s="8"/>
      <c r="B83" s="9"/>
      <c r="C83" s="9"/>
      <c r="D83" s="10" t="str">
        <f t="shared" si="3"/>
        <v/>
      </c>
      <c r="E83" s="10" t="str">
        <f>IF(D83="","",D83-SETUP!$B$4)</f>
        <v/>
      </c>
      <c r="F83" s="10">
        <f>SETUP!$B$3</f>
        <v>0.45</v>
      </c>
      <c r="G83" s="10" t="str">
        <f t="shared" si="4"/>
        <v/>
      </c>
      <c r="H83" s="11" t="str">
        <f t="shared" si="5"/>
        <v/>
      </c>
    </row>
    <row r="84" spans="1:8" x14ac:dyDescent="0.3">
      <c r="A84" s="8"/>
      <c r="B84" s="9"/>
      <c r="C84" s="9"/>
      <c r="D84" s="10" t="str">
        <f t="shared" si="3"/>
        <v/>
      </c>
      <c r="E84" s="10" t="str">
        <f>IF(D84="","",D84-SETUP!$B$4)</f>
        <v/>
      </c>
      <c r="F84" s="10">
        <f>SETUP!$B$3</f>
        <v>0.45</v>
      </c>
      <c r="G84" s="10" t="str">
        <f t="shared" si="4"/>
        <v/>
      </c>
      <c r="H84" s="11" t="str">
        <f t="shared" si="5"/>
        <v/>
      </c>
    </row>
    <row r="85" spans="1:8" x14ac:dyDescent="0.3">
      <c r="A85" s="8"/>
      <c r="B85" s="9"/>
      <c r="C85" s="9"/>
      <c r="D85" s="10" t="str">
        <f t="shared" si="3"/>
        <v/>
      </c>
      <c r="E85" s="10" t="str">
        <f>IF(D85="","",D85-SETUP!$B$4)</f>
        <v/>
      </c>
      <c r="F85" s="10">
        <f>SETUP!$B$3</f>
        <v>0.45</v>
      </c>
      <c r="G85" s="10" t="str">
        <f t="shared" si="4"/>
        <v/>
      </c>
      <c r="H85" s="11" t="str">
        <f t="shared" si="5"/>
        <v/>
      </c>
    </row>
    <row r="86" spans="1:8" x14ac:dyDescent="0.3">
      <c r="A86" s="8"/>
      <c r="B86" s="9"/>
      <c r="C86" s="9"/>
      <c r="D86" s="10" t="str">
        <f t="shared" si="3"/>
        <v/>
      </c>
      <c r="E86" s="10" t="str">
        <f>IF(D86="","",D86-SETUP!$B$4)</f>
        <v/>
      </c>
      <c r="F86" s="10">
        <f>SETUP!$B$3</f>
        <v>0.45</v>
      </c>
      <c r="G86" s="10" t="str">
        <f t="shared" si="4"/>
        <v/>
      </c>
      <c r="H86" s="11" t="str">
        <f t="shared" si="5"/>
        <v/>
      </c>
    </row>
    <row r="87" spans="1:8" x14ac:dyDescent="0.3">
      <c r="A87" s="8"/>
      <c r="B87" s="9"/>
      <c r="C87" s="9"/>
      <c r="D87" s="10" t="str">
        <f t="shared" si="3"/>
        <v/>
      </c>
      <c r="E87" s="10" t="str">
        <f>IF(D87="","",D87-SETUP!$B$4)</f>
        <v/>
      </c>
      <c r="F87" s="10">
        <f>SETUP!$B$3</f>
        <v>0.45</v>
      </c>
      <c r="G87" s="10" t="str">
        <f t="shared" si="4"/>
        <v/>
      </c>
      <c r="H87" s="11" t="str">
        <f t="shared" si="5"/>
        <v/>
      </c>
    </row>
    <row r="88" spans="1:8" x14ac:dyDescent="0.3">
      <c r="A88" s="8"/>
      <c r="B88" s="9"/>
      <c r="C88" s="9"/>
      <c r="D88" s="10" t="str">
        <f t="shared" si="3"/>
        <v/>
      </c>
      <c r="E88" s="10" t="str">
        <f>IF(D88="","",D88-SETUP!$B$4)</f>
        <v/>
      </c>
      <c r="F88" s="10">
        <f>SETUP!$B$3</f>
        <v>0.45</v>
      </c>
      <c r="G88" s="10" t="str">
        <f t="shared" si="4"/>
        <v/>
      </c>
      <c r="H88" s="11" t="str">
        <f t="shared" si="5"/>
        <v/>
      </c>
    </row>
    <row r="89" spans="1:8" x14ac:dyDescent="0.3">
      <c r="A89" s="8"/>
      <c r="B89" s="9"/>
      <c r="C89" s="9"/>
      <c r="D89" s="10" t="str">
        <f t="shared" si="3"/>
        <v/>
      </c>
      <c r="E89" s="10" t="str">
        <f>IF(D89="","",D89-SETUP!$B$4)</f>
        <v/>
      </c>
      <c r="F89" s="10">
        <f>SETUP!$B$3</f>
        <v>0.45</v>
      </c>
      <c r="G89" s="10" t="str">
        <f t="shared" si="4"/>
        <v/>
      </c>
      <c r="H89" s="11" t="str">
        <f t="shared" si="5"/>
        <v/>
      </c>
    </row>
    <row r="90" spans="1:8" x14ac:dyDescent="0.3">
      <c r="A90" s="8"/>
      <c r="B90" s="9"/>
      <c r="C90" s="9"/>
      <c r="D90" s="10" t="str">
        <f t="shared" si="3"/>
        <v/>
      </c>
      <c r="E90" s="10" t="str">
        <f>IF(D90="","",D90-SETUP!$B$4)</f>
        <v/>
      </c>
      <c r="F90" s="10">
        <f>SETUP!$B$3</f>
        <v>0.45</v>
      </c>
      <c r="G90" s="10" t="str">
        <f t="shared" si="4"/>
        <v/>
      </c>
      <c r="H90" s="11" t="str">
        <f t="shared" si="5"/>
        <v/>
      </c>
    </row>
    <row r="91" spans="1:8" x14ac:dyDescent="0.3">
      <c r="A91" s="8"/>
      <c r="B91" s="9"/>
      <c r="C91" s="9"/>
      <c r="D91" s="10" t="str">
        <f t="shared" si="3"/>
        <v/>
      </c>
      <c r="E91" s="10" t="str">
        <f>IF(D91="","",D91-SETUP!$B$4)</f>
        <v/>
      </c>
      <c r="F91" s="10">
        <f>SETUP!$B$3</f>
        <v>0.45</v>
      </c>
      <c r="G91" s="10" t="str">
        <f t="shared" si="4"/>
        <v/>
      </c>
      <c r="H91" s="11" t="str">
        <f t="shared" si="5"/>
        <v/>
      </c>
    </row>
    <row r="92" spans="1:8" x14ac:dyDescent="0.3">
      <c r="A92" s="8"/>
      <c r="B92" s="9"/>
      <c r="C92" s="9"/>
      <c r="D92" s="10" t="str">
        <f t="shared" si="3"/>
        <v/>
      </c>
      <c r="E92" s="10" t="str">
        <f>IF(D92="","",D92-SETUP!$B$4)</f>
        <v/>
      </c>
      <c r="F92" s="10">
        <f>SETUP!$B$3</f>
        <v>0.45</v>
      </c>
      <c r="G92" s="10" t="str">
        <f t="shared" si="4"/>
        <v/>
      </c>
      <c r="H92" s="11" t="str">
        <f t="shared" si="5"/>
        <v/>
      </c>
    </row>
    <row r="93" spans="1:8" x14ac:dyDescent="0.3">
      <c r="A93" s="8"/>
      <c r="B93" s="9"/>
      <c r="C93" s="9"/>
      <c r="D93" s="10" t="str">
        <f t="shared" si="3"/>
        <v/>
      </c>
      <c r="E93" s="10" t="str">
        <f>IF(D93="","",D93-SETUP!$B$4)</f>
        <v/>
      </c>
      <c r="F93" s="10">
        <f>SETUP!$B$3</f>
        <v>0.45</v>
      </c>
      <c r="G93" s="10" t="str">
        <f t="shared" si="4"/>
        <v/>
      </c>
      <c r="H93" s="11" t="str">
        <f t="shared" si="5"/>
        <v/>
      </c>
    </row>
    <row r="94" spans="1:8" x14ac:dyDescent="0.3">
      <c r="A94" s="8"/>
      <c r="B94" s="9"/>
      <c r="C94" s="9"/>
      <c r="D94" s="10" t="str">
        <f t="shared" si="3"/>
        <v/>
      </c>
      <c r="E94" s="10" t="str">
        <f>IF(D94="","",D94-SETUP!$B$4)</f>
        <v/>
      </c>
      <c r="F94" s="10">
        <f>SETUP!$B$3</f>
        <v>0.45</v>
      </c>
      <c r="G94" s="10" t="str">
        <f t="shared" si="4"/>
        <v/>
      </c>
      <c r="H94" s="11" t="str">
        <f t="shared" si="5"/>
        <v/>
      </c>
    </row>
    <row r="95" spans="1:8" x14ac:dyDescent="0.3">
      <c r="A95" s="8"/>
      <c r="B95" s="9"/>
      <c r="C95" s="9"/>
      <c r="D95" s="10" t="str">
        <f t="shared" si="3"/>
        <v/>
      </c>
      <c r="E95" s="10" t="str">
        <f>IF(D95="","",D95-SETUP!$B$4)</f>
        <v/>
      </c>
      <c r="F95" s="10">
        <f>SETUP!$B$3</f>
        <v>0.45</v>
      </c>
      <c r="G95" s="10" t="str">
        <f t="shared" si="4"/>
        <v/>
      </c>
      <c r="H95" s="11" t="str">
        <f t="shared" si="5"/>
        <v/>
      </c>
    </row>
    <row r="96" spans="1:8" x14ac:dyDescent="0.3">
      <c r="A96" s="8"/>
      <c r="B96" s="9"/>
      <c r="C96" s="9"/>
      <c r="D96" s="10" t="str">
        <f t="shared" si="3"/>
        <v/>
      </c>
      <c r="E96" s="10" t="str">
        <f>IF(D96="","",D96-SETUP!$B$4)</f>
        <v/>
      </c>
      <c r="F96" s="10">
        <f>SETUP!$B$3</f>
        <v>0.45</v>
      </c>
      <c r="G96" s="10" t="str">
        <f t="shared" si="4"/>
        <v/>
      </c>
      <c r="H96" s="11" t="str">
        <f t="shared" si="5"/>
        <v/>
      </c>
    </row>
    <row r="97" spans="1:8" x14ac:dyDescent="0.3">
      <c r="A97" s="8"/>
      <c r="B97" s="9"/>
      <c r="C97" s="9"/>
      <c r="D97" s="10" t="str">
        <f t="shared" si="3"/>
        <v/>
      </c>
      <c r="E97" s="10" t="str">
        <f>IF(D97="","",D97-SETUP!$B$4)</f>
        <v/>
      </c>
      <c r="F97" s="10">
        <f>SETUP!$B$3</f>
        <v>0.45</v>
      </c>
      <c r="G97" s="10" t="str">
        <f t="shared" si="4"/>
        <v/>
      </c>
      <c r="H97" s="11" t="str">
        <f t="shared" si="5"/>
        <v/>
      </c>
    </row>
    <row r="98" spans="1:8" x14ac:dyDescent="0.3">
      <c r="A98" s="8"/>
      <c r="B98" s="9"/>
      <c r="C98" s="9"/>
      <c r="D98" s="10" t="str">
        <f t="shared" si="3"/>
        <v/>
      </c>
      <c r="E98" s="10" t="str">
        <f>IF(D98="","",D98-SETUP!$B$4)</f>
        <v/>
      </c>
      <c r="F98" s="10">
        <f>SETUP!$B$3</f>
        <v>0.45</v>
      </c>
      <c r="G98" s="10" t="str">
        <f t="shared" si="4"/>
        <v/>
      </c>
      <c r="H98" s="11" t="str">
        <f t="shared" si="5"/>
        <v/>
      </c>
    </row>
    <row r="99" spans="1:8" x14ac:dyDescent="0.3">
      <c r="A99" s="8"/>
      <c r="B99" s="9"/>
      <c r="C99" s="9"/>
      <c r="D99" s="10" t="str">
        <f t="shared" si="3"/>
        <v/>
      </c>
      <c r="E99" s="10" t="str">
        <f>IF(D99="","",D99-SETUP!$B$4)</f>
        <v/>
      </c>
      <c r="F99" s="10">
        <f>SETUP!$B$3</f>
        <v>0.45</v>
      </c>
      <c r="G99" s="10" t="str">
        <f t="shared" si="4"/>
        <v/>
      </c>
      <c r="H99" s="11" t="str">
        <f t="shared" si="5"/>
        <v/>
      </c>
    </row>
    <row r="100" spans="1:8" x14ac:dyDescent="0.3">
      <c r="A100" s="8"/>
      <c r="B100" s="9"/>
      <c r="C100" s="9"/>
      <c r="D100" s="10" t="str">
        <f t="shared" si="3"/>
        <v/>
      </c>
      <c r="E100" s="10" t="str">
        <f>IF(D100="","",D100-SETUP!$B$4)</f>
        <v/>
      </c>
      <c r="F100" s="10">
        <f>SETUP!$B$3</f>
        <v>0.45</v>
      </c>
      <c r="G100" s="10" t="str">
        <f t="shared" si="4"/>
        <v/>
      </c>
      <c r="H100" s="11" t="str">
        <f t="shared" si="5"/>
        <v/>
      </c>
    </row>
    <row r="101" spans="1:8" x14ac:dyDescent="0.3">
      <c r="A101" s="8"/>
      <c r="B101" s="9"/>
      <c r="C101" s="9"/>
      <c r="D101" s="10" t="str">
        <f t="shared" si="3"/>
        <v/>
      </c>
      <c r="E101" s="10" t="str">
        <f>IF(D101="","",D101-SETUP!$B$4)</f>
        <v/>
      </c>
      <c r="F101" s="10">
        <f>SETUP!$B$3</f>
        <v>0.45</v>
      </c>
      <c r="G101" s="10" t="str">
        <f t="shared" si="4"/>
        <v/>
      </c>
      <c r="H101" s="11" t="str">
        <f t="shared" si="5"/>
        <v/>
      </c>
    </row>
    <row r="102" spans="1:8" x14ac:dyDescent="0.3">
      <c r="A102" s="8"/>
      <c r="B102" s="9"/>
      <c r="C102" s="9"/>
      <c r="D102" s="10" t="str">
        <f t="shared" si="3"/>
        <v/>
      </c>
      <c r="E102" s="10" t="str">
        <f>IF(D102="","",D102-SETUP!$B$4)</f>
        <v/>
      </c>
      <c r="F102" s="10">
        <f>SETUP!$B$3</f>
        <v>0.45</v>
      </c>
      <c r="G102" s="10" t="str">
        <f t="shared" si="4"/>
        <v/>
      </c>
      <c r="H102" s="11" t="str">
        <f t="shared" si="5"/>
        <v/>
      </c>
    </row>
    <row r="103" spans="1:8" x14ac:dyDescent="0.3">
      <c r="A103" s="8"/>
      <c r="B103" s="9"/>
      <c r="C103" s="9"/>
      <c r="D103" s="10" t="str">
        <f t="shared" si="3"/>
        <v/>
      </c>
      <c r="E103" s="10" t="str">
        <f>IF(D103="","",D103-SETUP!$B$4)</f>
        <v/>
      </c>
      <c r="F103" s="10">
        <f>SETUP!$B$3</f>
        <v>0.45</v>
      </c>
      <c r="G103" s="10" t="str">
        <f t="shared" si="4"/>
        <v/>
      </c>
      <c r="H103" s="11" t="str">
        <f t="shared" si="5"/>
        <v/>
      </c>
    </row>
    <row r="104" spans="1:8" x14ac:dyDescent="0.3">
      <c r="A104" s="8"/>
      <c r="B104" s="9"/>
      <c r="C104" s="9"/>
      <c r="D104" s="10" t="str">
        <f t="shared" si="3"/>
        <v/>
      </c>
      <c r="E104" s="10" t="str">
        <f>IF(D104="","",D104-SETUP!$B$4)</f>
        <v/>
      </c>
      <c r="F104" s="10">
        <f>SETUP!$B$3</f>
        <v>0.45</v>
      </c>
      <c r="G104" s="10" t="str">
        <f t="shared" si="4"/>
        <v/>
      </c>
      <c r="H104" s="11" t="str">
        <f t="shared" si="5"/>
        <v/>
      </c>
    </row>
    <row r="105" spans="1:8" x14ac:dyDescent="0.3">
      <c r="A105" s="8"/>
      <c r="B105" s="9"/>
      <c r="C105" s="9"/>
      <c r="D105" s="10" t="str">
        <f t="shared" si="3"/>
        <v/>
      </c>
      <c r="E105" s="10" t="str">
        <f>IF(D105="","",D105-SETUP!$B$4)</f>
        <v/>
      </c>
      <c r="F105" s="10">
        <f>SETUP!$B$3</f>
        <v>0.45</v>
      </c>
      <c r="G105" s="10" t="str">
        <f t="shared" si="4"/>
        <v/>
      </c>
      <c r="H105" s="11" t="str">
        <f t="shared" si="5"/>
        <v/>
      </c>
    </row>
    <row r="106" spans="1:8" x14ac:dyDescent="0.3">
      <c r="A106" s="8"/>
      <c r="B106" s="9"/>
      <c r="C106" s="9"/>
      <c r="D106" s="10" t="str">
        <f t="shared" si="3"/>
        <v/>
      </c>
      <c r="E106" s="10" t="str">
        <f>IF(D106="","",D106-SETUP!$B$4)</f>
        <v/>
      </c>
      <c r="F106" s="10">
        <f>SETUP!$B$3</f>
        <v>0.45</v>
      </c>
      <c r="G106" s="10" t="str">
        <f t="shared" si="4"/>
        <v/>
      </c>
      <c r="H106" s="11" t="str">
        <f t="shared" si="5"/>
        <v/>
      </c>
    </row>
    <row r="107" spans="1:8" x14ac:dyDescent="0.3">
      <c r="A107" s="8"/>
      <c r="B107" s="9"/>
      <c r="C107" s="9"/>
      <c r="D107" s="10" t="str">
        <f t="shared" si="3"/>
        <v/>
      </c>
      <c r="E107" s="10" t="str">
        <f>IF(D107="","",D107-SETUP!$B$4)</f>
        <v/>
      </c>
      <c r="F107" s="10">
        <f>SETUP!$B$3</f>
        <v>0.45</v>
      </c>
      <c r="G107" s="10" t="str">
        <f t="shared" si="4"/>
        <v/>
      </c>
      <c r="H107" s="11" t="str">
        <f t="shared" si="5"/>
        <v/>
      </c>
    </row>
    <row r="108" spans="1:8" x14ac:dyDescent="0.3">
      <c r="A108" s="8"/>
      <c r="B108" s="9"/>
      <c r="C108" s="9"/>
      <c r="D108" s="10" t="str">
        <f t="shared" si="3"/>
        <v/>
      </c>
      <c r="E108" s="10" t="str">
        <f>IF(D108="","",D108-SETUP!$B$4)</f>
        <v/>
      </c>
      <c r="F108" s="10">
        <f>SETUP!$B$3</f>
        <v>0.45</v>
      </c>
      <c r="G108" s="10" t="str">
        <f t="shared" si="4"/>
        <v/>
      </c>
      <c r="H108" s="11" t="str">
        <f t="shared" si="5"/>
        <v/>
      </c>
    </row>
    <row r="109" spans="1:8" x14ac:dyDescent="0.3">
      <c r="A109" s="8"/>
      <c r="B109" s="9"/>
      <c r="C109" s="9"/>
      <c r="D109" s="10" t="str">
        <f t="shared" si="3"/>
        <v/>
      </c>
      <c r="E109" s="10" t="str">
        <f>IF(D109="","",D109-SETUP!$B$4)</f>
        <v/>
      </c>
      <c r="F109" s="10">
        <f>SETUP!$B$3</f>
        <v>0.45</v>
      </c>
      <c r="G109" s="10" t="str">
        <f t="shared" si="4"/>
        <v/>
      </c>
      <c r="H109" s="11" t="str">
        <f t="shared" si="5"/>
        <v/>
      </c>
    </row>
    <row r="110" spans="1:8" x14ac:dyDescent="0.3">
      <c r="A110" s="8"/>
      <c r="B110" s="9"/>
      <c r="C110" s="9"/>
      <c r="D110" s="10" t="str">
        <f t="shared" si="3"/>
        <v/>
      </c>
      <c r="E110" s="10" t="str">
        <f>IF(D110="","",D110-SETUP!$B$4)</f>
        <v/>
      </c>
      <c r="F110" s="10">
        <f>SETUP!$B$3</f>
        <v>0.45</v>
      </c>
      <c r="G110" s="10" t="str">
        <f t="shared" si="4"/>
        <v/>
      </c>
      <c r="H110" s="11" t="str">
        <f t="shared" si="5"/>
        <v/>
      </c>
    </row>
    <row r="111" spans="1:8" x14ac:dyDescent="0.3">
      <c r="A111" s="8"/>
      <c r="B111" s="9"/>
      <c r="C111" s="9"/>
      <c r="D111" s="10" t="str">
        <f t="shared" si="3"/>
        <v/>
      </c>
      <c r="E111" s="10" t="str">
        <f>IF(D111="","",D111-SETUP!$B$4)</f>
        <v/>
      </c>
      <c r="F111" s="10">
        <f>SETUP!$B$3</f>
        <v>0.45</v>
      </c>
      <c r="G111" s="10" t="str">
        <f t="shared" si="4"/>
        <v/>
      </c>
      <c r="H111" s="11" t="str">
        <f t="shared" si="5"/>
        <v/>
      </c>
    </row>
    <row r="112" spans="1:8" x14ac:dyDescent="0.3">
      <c r="A112" s="8"/>
      <c r="B112" s="9"/>
      <c r="C112" s="9"/>
      <c r="D112" s="10" t="str">
        <f t="shared" si="3"/>
        <v/>
      </c>
      <c r="E112" s="10" t="str">
        <f>IF(D112="","",D112-SETUP!$B$4)</f>
        <v/>
      </c>
      <c r="F112" s="10">
        <f>SETUP!$B$3</f>
        <v>0.45</v>
      </c>
      <c r="G112" s="10" t="str">
        <f t="shared" si="4"/>
        <v/>
      </c>
      <c r="H112" s="11" t="str">
        <f t="shared" si="5"/>
        <v/>
      </c>
    </row>
    <row r="113" spans="1:8" x14ac:dyDescent="0.3">
      <c r="A113" s="8"/>
      <c r="B113" s="9"/>
      <c r="C113" s="9"/>
      <c r="D113" s="10" t="str">
        <f t="shared" si="3"/>
        <v/>
      </c>
      <c r="E113" s="10" t="str">
        <f>IF(D113="","",D113-SETUP!$B$4)</f>
        <v/>
      </c>
      <c r="F113" s="10">
        <f>SETUP!$B$3</f>
        <v>0.45</v>
      </c>
      <c r="G113" s="10" t="str">
        <f t="shared" si="4"/>
        <v/>
      </c>
      <c r="H113" s="11" t="str">
        <f t="shared" si="5"/>
        <v/>
      </c>
    </row>
    <row r="114" spans="1:8" x14ac:dyDescent="0.3">
      <c r="A114" s="8"/>
      <c r="B114" s="9"/>
      <c r="C114" s="9"/>
      <c r="D114" s="10" t="str">
        <f t="shared" si="3"/>
        <v/>
      </c>
      <c r="E114" s="10" t="str">
        <f>IF(D114="","",D114-SETUP!$B$4)</f>
        <v/>
      </c>
      <c r="F114" s="10">
        <f>SETUP!$B$3</f>
        <v>0.45</v>
      </c>
      <c r="G114" s="10" t="str">
        <f t="shared" si="4"/>
        <v/>
      </c>
      <c r="H114" s="11" t="str">
        <f t="shared" si="5"/>
        <v/>
      </c>
    </row>
    <row r="115" spans="1:8" x14ac:dyDescent="0.3">
      <c r="A115" s="8"/>
      <c r="B115" s="9"/>
      <c r="C115" s="9"/>
      <c r="D115" s="10" t="str">
        <f t="shared" si="3"/>
        <v/>
      </c>
      <c r="E115" s="10" t="str">
        <f>IF(D115="","",D115-SETUP!$B$4)</f>
        <v/>
      </c>
      <c r="F115" s="10">
        <f>SETUP!$B$3</f>
        <v>0.45</v>
      </c>
      <c r="G115" s="10" t="str">
        <f t="shared" si="4"/>
        <v/>
      </c>
      <c r="H115" s="11" t="str">
        <f t="shared" si="5"/>
        <v/>
      </c>
    </row>
    <row r="116" spans="1:8" x14ac:dyDescent="0.3">
      <c r="A116" s="8"/>
      <c r="B116" s="9"/>
      <c r="C116" s="9"/>
      <c r="D116" s="10" t="str">
        <f t="shared" si="3"/>
        <v/>
      </c>
      <c r="E116" s="10" t="str">
        <f>IF(D116="","",D116-SETUP!$B$4)</f>
        <v/>
      </c>
      <c r="F116" s="10">
        <f>SETUP!$B$3</f>
        <v>0.45</v>
      </c>
      <c r="G116" s="10" t="str">
        <f t="shared" si="4"/>
        <v/>
      </c>
      <c r="H116" s="11" t="str">
        <f t="shared" si="5"/>
        <v/>
      </c>
    </row>
    <row r="117" spans="1:8" x14ac:dyDescent="0.3">
      <c r="A117" s="8"/>
      <c r="B117" s="9"/>
      <c r="C117" s="9"/>
      <c r="D117" s="10" t="str">
        <f t="shared" si="3"/>
        <v/>
      </c>
      <c r="E117" s="10" t="str">
        <f>IF(D117="","",D117-SETUP!$B$4)</f>
        <v/>
      </c>
      <c r="F117" s="10">
        <f>SETUP!$B$3</f>
        <v>0.45</v>
      </c>
      <c r="G117" s="10" t="str">
        <f t="shared" si="4"/>
        <v/>
      </c>
      <c r="H117" s="11" t="str">
        <f t="shared" si="5"/>
        <v/>
      </c>
    </row>
    <row r="118" spans="1:8" x14ac:dyDescent="0.3">
      <c r="A118" s="8"/>
      <c r="B118" s="9"/>
      <c r="C118" s="9"/>
      <c r="D118" s="10" t="str">
        <f t="shared" si="3"/>
        <v/>
      </c>
      <c r="E118" s="10" t="str">
        <f>IF(D118="","",D118-SETUP!$B$4)</f>
        <v/>
      </c>
      <c r="F118" s="10">
        <f>SETUP!$B$3</f>
        <v>0.45</v>
      </c>
      <c r="G118" s="10" t="str">
        <f t="shared" si="4"/>
        <v/>
      </c>
      <c r="H118" s="11" t="str">
        <f t="shared" si="5"/>
        <v/>
      </c>
    </row>
    <row r="119" spans="1:8" x14ac:dyDescent="0.3">
      <c r="A119" s="8"/>
      <c r="B119" s="9"/>
      <c r="C119" s="9"/>
      <c r="D119" s="10" t="str">
        <f t="shared" si="3"/>
        <v/>
      </c>
      <c r="E119" s="10" t="str">
        <f>IF(D119="","",D119-SETUP!$B$4)</f>
        <v/>
      </c>
      <c r="F119" s="10">
        <f>SETUP!$B$3</f>
        <v>0.45</v>
      </c>
      <c r="G119" s="10" t="str">
        <f t="shared" si="4"/>
        <v/>
      </c>
      <c r="H119" s="11" t="str">
        <f t="shared" si="5"/>
        <v/>
      </c>
    </row>
    <row r="120" spans="1:8" x14ac:dyDescent="0.3">
      <c r="A120" s="8"/>
      <c r="B120" s="9"/>
      <c r="C120" s="9"/>
      <c r="D120" s="10" t="str">
        <f t="shared" si="3"/>
        <v/>
      </c>
      <c r="E120" s="10" t="str">
        <f>IF(D120="","",D120-SETUP!$B$4)</f>
        <v/>
      </c>
      <c r="F120" s="10">
        <f>SETUP!$B$3</f>
        <v>0.45</v>
      </c>
      <c r="G120" s="10" t="str">
        <f t="shared" si="4"/>
        <v/>
      </c>
      <c r="H120" s="11" t="str">
        <f t="shared" si="5"/>
        <v/>
      </c>
    </row>
    <row r="121" spans="1:8" x14ac:dyDescent="0.3">
      <c r="A121" s="8"/>
      <c r="B121" s="9"/>
      <c r="C121" s="9"/>
      <c r="D121" s="10" t="str">
        <f t="shared" si="3"/>
        <v/>
      </c>
      <c r="E121" s="10" t="str">
        <f>IF(D121="","",D121-SETUP!$B$4)</f>
        <v/>
      </c>
      <c r="F121" s="10">
        <f>SETUP!$B$3</f>
        <v>0.45</v>
      </c>
      <c r="G121" s="10" t="str">
        <f t="shared" si="4"/>
        <v/>
      </c>
      <c r="H121" s="11" t="str">
        <f t="shared" si="5"/>
        <v/>
      </c>
    </row>
    <row r="122" spans="1:8" x14ac:dyDescent="0.3">
      <c r="A122" s="8"/>
      <c r="B122" s="9"/>
      <c r="C122" s="9"/>
      <c r="D122" s="10" t="str">
        <f t="shared" si="3"/>
        <v/>
      </c>
      <c r="E122" s="10" t="str">
        <f>IF(D122="","",D122-SETUP!$B$4)</f>
        <v/>
      </c>
      <c r="F122" s="10">
        <f>SETUP!$B$3</f>
        <v>0.45</v>
      </c>
      <c r="G122" s="10" t="str">
        <f t="shared" si="4"/>
        <v/>
      </c>
      <c r="H122" s="11" t="str">
        <f t="shared" si="5"/>
        <v/>
      </c>
    </row>
    <row r="123" spans="1:8" x14ac:dyDescent="0.3">
      <c r="A123" s="8"/>
      <c r="B123" s="9"/>
      <c r="C123" s="9"/>
      <c r="D123" s="10" t="str">
        <f t="shared" si="3"/>
        <v/>
      </c>
      <c r="E123" s="10" t="str">
        <f>IF(D123="","",D123-SETUP!$B$4)</f>
        <v/>
      </c>
      <c r="F123" s="10">
        <f>SETUP!$B$3</f>
        <v>0.45</v>
      </c>
      <c r="G123" s="10" t="str">
        <f t="shared" si="4"/>
        <v/>
      </c>
      <c r="H123" s="11" t="str">
        <f t="shared" si="5"/>
        <v/>
      </c>
    </row>
    <row r="124" spans="1:8" x14ac:dyDescent="0.3">
      <c r="A124" s="8"/>
      <c r="B124" s="9"/>
      <c r="C124" s="9"/>
      <c r="D124" s="10" t="str">
        <f t="shared" si="3"/>
        <v/>
      </c>
      <c r="E124" s="10" t="str">
        <f>IF(D124="","",D124-SETUP!$B$4)</f>
        <v/>
      </c>
      <c r="F124" s="10">
        <f>SETUP!$B$3</f>
        <v>0.45</v>
      </c>
      <c r="G124" s="10" t="str">
        <f t="shared" si="4"/>
        <v/>
      </c>
      <c r="H124" s="11" t="str">
        <f t="shared" si="5"/>
        <v/>
      </c>
    </row>
    <row r="125" spans="1:8" x14ac:dyDescent="0.3">
      <c r="A125" s="8"/>
      <c r="B125" s="9"/>
      <c r="C125" s="9"/>
      <c r="D125" s="10" t="str">
        <f t="shared" si="3"/>
        <v/>
      </c>
      <c r="E125" s="10" t="str">
        <f>IF(D125="","",D125-SETUP!$B$4)</f>
        <v/>
      </c>
      <c r="F125" s="10">
        <f>SETUP!$B$3</f>
        <v>0.45</v>
      </c>
      <c r="G125" s="10" t="str">
        <f t="shared" si="4"/>
        <v/>
      </c>
      <c r="H125" s="11" t="str">
        <f t="shared" si="5"/>
        <v/>
      </c>
    </row>
    <row r="126" spans="1:8" x14ac:dyDescent="0.3">
      <c r="A126" s="8"/>
      <c r="B126" s="9"/>
      <c r="C126" s="9"/>
      <c r="D126" s="10" t="str">
        <f t="shared" si="3"/>
        <v/>
      </c>
      <c r="E126" s="10" t="str">
        <f>IF(D126="","",D126-SETUP!$B$4)</f>
        <v/>
      </c>
      <c r="F126" s="10">
        <f>SETUP!$B$3</f>
        <v>0.45</v>
      </c>
      <c r="G126" s="10" t="str">
        <f t="shared" si="4"/>
        <v/>
      </c>
      <c r="H126" s="11" t="str">
        <f t="shared" si="5"/>
        <v/>
      </c>
    </row>
    <row r="127" spans="1:8" x14ac:dyDescent="0.3">
      <c r="A127" s="8"/>
      <c r="B127" s="9"/>
      <c r="C127" s="9"/>
      <c r="D127" s="10" t="str">
        <f t="shared" si="3"/>
        <v/>
      </c>
      <c r="E127" s="10" t="str">
        <f>IF(D127="","",D127-SETUP!$B$4)</f>
        <v/>
      </c>
      <c r="F127" s="10">
        <f>SETUP!$B$3</f>
        <v>0.45</v>
      </c>
      <c r="G127" s="10" t="str">
        <f t="shared" si="4"/>
        <v/>
      </c>
      <c r="H127" s="11" t="str">
        <f t="shared" si="5"/>
        <v/>
      </c>
    </row>
    <row r="128" spans="1:8" x14ac:dyDescent="0.3">
      <c r="A128" s="8"/>
      <c r="B128" s="9"/>
      <c r="C128" s="9"/>
      <c r="D128" s="10" t="str">
        <f t="shared" si="3"/>
        <v/>
      </c>
      <c r="E128" s="10" t="str">
        <f>IF(D128="","",D128-SETUP!$B$4)</f>
        <v/>
      </c>
      <c r="F128" s="10">
        <f>SETUP!$B$3</f>
        <v>0.45</v>
      </c>
      <c r="G128" s="10" t="str">
        <f t="shared" si="4"/>
        <v/>
      </c>
      <c r="H128" s="11" t="str">
        <f t="shared" si="5"/>
        <v/>
      </c>
    </row>
    <row r="129" spans="1:8" x14ac:dyDescent="0.3">
      <c r="A129" s="8"/>
      <c r="B129" s="9"/>
      <c r="C129" s="9"/>
      <c r="D129" s="10" t="str">
        <f t="shared" si="3"/>
        <v/>
      </c>
      <c r="E129" s="10" t="str">
        <f>IF(D129="","",D129-SETUP!$B$4)</f>
        <v/>
      </c>
      <c r="F129" s="10">
        <f>SETUP!$B$3</f>
        <v>0.45</v>
      </c>
      <c r="G129" s="10" t="str">
        <f t="shared" si="4"/>
        <v/>
      </c>
      <c r="H129" s="11" t="str">
        <f t="shared" si="5"/>
        <v/>
      </c>
    </row>
    <row r="130" spans="1:8" x14ac:dyDescent="0.3">
      <c r="A130" s="8"/>
      <c r="B130" s="9"/>
      <c r="C130" s="9"/>
      <c r="D130" s="10" t="str">
        <f t="shared" si="3"/>
        <v/>
      </c>
      <c r="E130" s="10" t="str">
        <f>IF(D130="","",D130-SETUP!$B$4)</f>
        <v/>
      </c>
      <c r="F130" s="10">
        <f>SETUP!$B$3</f>
        <v>0.45</v>
      </c>
      <c r="G130" s="10" t="str">
        <f t="shared" si="4"/>
        <v/>
      </c>
      <c r="H130" s="11" t="str">
        <f t="shared" si="5"/>
        <v/>
      </c>
    </row>
    <row r="131" spans="1:8" x14ac:dyDescent="0.3">
      <c r="A131" s="8"/>
      <c r="B131" s="9"/>
      <c r="C131" s="9"/>
      <c r="D131" s="10" t="str">
        <f t="shared" si="3"/>
        <v/>
      </c>
      <c r="E131" s="10" t="str">
        <f>IF(D131="","",D131-SETUP!$B$4)</f>
        <v/>
      </c>
      <c r="F131" s="10">
        <f>SETUP!$B$3</f>
        <v>0.45</v>
      </c>
      <c r="G131" s="10" t="str">
        <f t="shared" si="4"/>
        <v/>
      </c>
      <c r="H131" s="11" t="str">
        <f t="shared" si="5"/>
        <v/>
      </c>
    </row>
    <row r="132" spans="1:8" x14ac:dyDescent="0.3">
      <c r="A132" s="8"/>
      <c r="B132" s="9"/>
      <c r="C132" s="9"/>
      <c r="D132" s="10" t="str">
        <f t="shared" ref="D132:D195" si="6">IF(B132&gt;0,(B132-C132)/B132,"")</f>
        <v/>
      </c>
      <c r="E132" s="10" t="str">
        <f>IF(D132="","",D132-SETUP!$B$4)</f>
        <v/>
      </c>
      <c r="F132" s="10">
        <f>SETUP!$B$3</f>
        <v>0.45</v>
      </c>
      <c r="G132" s="10" t="str">
        <f t="shared" ref="G132:G195" si="7">IF(E132="","",E132-F132)</f>
        <v/>
      </c>
      <c r="H132" s="11" t="str">
        <f t="shared" ref="H132:H195" si="8">IF(G132="","",IF(G132&lt;0,"BELOW TARGET","ON / ABOVE TARGET"))</f>
        <v/>
      </c>
    </row>
    <row r="133" spans="1:8" x14ac:dyDescent="0.3">
      <c r="A133" s="8"/>
      <c r="B133" s="9"/>
      <c r="C133" s="9"/>
      <c r="D133" s="10" t="str">
        <f t="shared" si="6"/>
        <v/>
      </c>
      <c r="E133" s="10" t="str">
        <f>IF(D133="","",D133-SETUP!$B$4)</f>
        <v/>
      </c>
      <c r="F133" s="10">
        <f>SETUP!$B$3</f>
        <v>0.45</v>
      </c>
      <c r="G133" s="10" t="str">
        <f t="shared" si="7"/>
        <v/>
      </c>
      <c r="H133" s="11" t="str">
        <f t="shared" si="8"/>
        <v/>
      </c>
    </row>
    <row r="134" spans="1:8" x14ac:dyDescent="0.3">
      <c r="A134" s="8"/>
      <c r="B134" s="9"/>
      <c r="C134" s="9"/>
      <c r="D134" s="10" t="str">
        <f t="shared" si="6"/>
        <v/>
      </c>
      <c r="E134" s="10" t="str">
        <f>IF(D134="","",D134-SETUP!$B$4)</f>
        <v/>
      </c>
      <c r="F134" s="10">
        <f>SETUP!$B$3</f>
        <v>0.45</v>
      </c>
      <c r="G134" s="10" t="str">
        <f t="shared" si="7"/>
        <v/>
      </c>
      <c r="H134" s="11" t="str">
        <f t="shared" si="8"/>
        <v/>
      </c>
    </row>
    <row r="135" spans="1:8" x14ac:dyDescent="0.3">
      <c r="A135" s="8"/>
      <c r="B135" s="9"/>
      <c r="C135" s="9"/>
      <c r="D135" s="10" t="str">
        <f t="shared" si="6"/>
        <v/>
      </c>
      <c r="E135" s="10" t="str">
        <f>IF(D135="","",D135-SETUP!$B$4)</f>
        <v/>
      </c>
      <c r="F135" s="10">
        <f>SETUP!$B$3</f>
        <v>0.45</v>
      </c>
      <c r="G135" s="10" t="str">
        <f t="shared" si="7"/>
        <v/>
      </c>
      <c r="H135" s="11" t="str">
        <f t="shared" si="8"/>
        <v/>
      </c>
    </row>
    <row r="136" spans="1:8" x14ac:dyDescent="0.3">
      <c r="A136" s="8"/>
      <c r="B136" s="9"/>
      <c r="C136" s="9"/>
      <c r="D136" s="10" t="str">
        <f t="shared" si="6"/>
        <v/>
      </c>
      <c r="E136" s="10" t="str">
        <f>IF(D136="","",D136-SETUP!$B$4)</f>
        <v/>
      </c>
      <c r="F136" s="10">
        <f>SETUP!$B$3</f>
        <v>0.45</v>
      </c>
      <c r="G136" s="10" t="str">
        <f t="shared" si="7"/>
        <v/>
      </c>
      <c r="H136" s="11" t="str">
        <f t="shared" si="8"/>
        <v/>
      </c>
    </row>
    <row r="137" spans="1:8" x14ac:dyDescent="0.3">
      <c r="A137" s="8"/>
      <c r="B137" s="9"/>
      <c r="C137" s="9"/>
      <c r="D137" s="10" t="str">
        <f t="shared" si="6"/>
        <v/>
      </c>
      <c r="E137" s="10" t="str">
        <f>IF(D137="","",D137-SETUP!$B$4)</f>
        <v/>
      </c>
      <c r="F137" s="10">
        <f>SETUP!$B$3</f>
        <v>0.45</v>
      </c>
      <c r="G137" s="10" t="str">
        <f t="shared" si="7"/>
        <v/>
      </c>
      <c r="H137" s="11" t="str">
        <f t="shared" si="8"/>
        <v/>
      </c>
    </row>
    <row r="138" spans="1:8" x14ac:dyDescent="0.3">
      <c r="A138" s="8"/>
      <c r="B138" s="9"/>
      <c r="C138" s="9"/>
      <c r="D138" s="10" t="str">
        <f t="shared" si="6"/>
        <v/>
      </c>
      <c r="E138" s="10" t="str">
        <f>IF(D138="","",D138-SETUP!$B$4)</f>
        <v/>
      </c>
      <c r="F138" s="10">
        <f>SETUP!$B$3</f>
        <v>0.45</v>
      </c>
      <c r="G138" s="10" t="str">
        <f t="shared" si="7"/>
        <v/>
      </c>
      <c r="H138" s="11" t="str">
        <f t="shared" si="8"/>
        <v/>
      </c>
    </row>
    <row r="139" spans="1:8" x14ac:dyDescent="0.3">
      <c r="A139" s="8"/>
      <c r="B139" s="9"/>
      <c r="C139" s="9"/>
      <c r="D139" s="10" t="str">
        <f t="shared" si="6"/>
        <v/>
      </c>
      <c r="E139" s="10" t="str">
        <f>IF(D139="","",D139-SETUP!$B$4)</f>
        <v/>
      </c>
      <c r="F139" s="10">
        <f>SETUP!$B$3</f>
        <v>0.45</v>
      </c>
      <c r="G139" s="10" t="str">
        <f t="shared" si="7"/>
        <v/>
      </c>
      <c r="H139" s="11" t="str">
        <f t="shared" si="8"/>
        <v/>
      </c>
    </row>
    <row r="140" spans="1:8" x14ac:dyDescent="0.3">
      <c r="A140" s="8"/>
      <c r="B140" s="9"/>
      <c r="C140" s="9"/>
      <c r="D140" s="10" t="str">
        <f t="shared" si="6"/>
        <v/>
      </c>
      <c r="E140" s="10" t="str">
        <f>IF(D140="","",D140-SETUP!$B$4)</f>
        <v/>
      </c>
      <c r="F140" s="10">
        <f>SETUP!$B$3</f>
        <v>0.45</v>
      </c>
      <c r="G140" s="10" t="str">
        <f t="shared" si="7"/>
        <v/>
      </c>
      <c r="H140" s="11" t="str">
        <f t="shared" si="8"/>
        <v/>
      </c>
    </row>
    <row r="141" spans="1:8" x14ac:dyDescent="0.3">
      <c r="A141" s="8"/>
      <c r="B141" s="9"/>
      <c r="C141" s="9"/>
      <c r="D141" s="10" t="str">
        <f t="shared" si="6"/>
        <v/>
      </c>
      <c r="E141" s="10" t="str">
        <f>IF(D141="","",D141-SETUP!$B$4)</f>
        <v/>
      </c>
      <c r="F141" s="10">
        <f>SETUP!$B$3</f>
        <v>0.45</v>
      </c>
      <c r="G141" s="10" t="str">
        <f t="shared" si="7"/>
        <v/>
      </c>
      <c r="H141" s="11" t="str">
        <f t="shared" si="8"/>
        <v/>
      </c>
    </row>
    <row r="142" spans="1:8" x14ac:dyDescent="0.3">
      <c r="A142" s="8"/>
      <c r="B142" s="9"/>
      <c r="C142" s="9"/>
      <c r="D142" s="10" t="str">
        <f t="shared" si="6"/>
        <v/>
      </c>
      <c r="E142" s="10" t="str">
        <f>IF(D142="","",D142-SETUP!$B$4)</f>
        <v/>
      </c>
      <c r="F142" s="10">
        <f>SETUP!$B$3</f>
        <v>0.45</v>
      </c>
      <c r="G142" s="10" t="str">
        <f t="shared" si="7"/>
        <v/>
      </c>
      <c r="H142" s="11" t="str">
        <f t="shared" si="8"/>
        <v/>
      </c>
    </row>
    <row r="143" spans="1:8" x14ac:dyDescent="0.3">
      <c r="A143" s="8"/>
      <c r="B143" s="9"/>
      <c r="C143" s="9"/>
      <c r="D143" s="10" t="str">
        <f t="shared" si="6"/>
        <v/>
      </c>
      <c r="E143" s="10" t="str">
        <f>IF(D143="","",D143-SETUP!$B$4)</f>
        <v/>
      </c>
      <c r="F143" s="10">
        <f>SETUP!$B$3</f>
        <v>0.45</v>
      </c>
      <c r="G143" s="10" t="str">
        <f t="shared" si="7"/>
        <v/>
      </c>
      <c r="H143" s="11" t="str">
        <f t="shared" si="8"/>
        <v/>
      </c>
    </row>
    <row r="144" spans="1:8" x14ac:dyDescent="0.3">
      <c r="A144" s="8"/>
      <c r="B144" s="9"/>
      <c r="C144" s="9"/>
      <c r="D144" s="10" t="str">
        <f t="shared" si="6"/>
        <v/>
      </c>
      <c r="E144" s="10" t="str">
        <f>IF(D144="","",D144-SETUP!$B$4)</f>
        <v/>
      </c>
      <c r="F144" s="10">
        <f>SETUP!$B$3</f>
        <v>0.45</v>
      </c>
      <c r="G144" s="10" t="str">
        <f t="shared" si="7"/>
        <v/>
      </c>
      <c r="H144" s="11" t="str">
        <f t="shared" si="8"/>
        <v/>
      </c>
    </row>
    <row r="145" spans="1:8" x14ac:dyDescent="0.3">
      <c r="A145" s="8"/>
      <c r="B145" s="9"/>
      <c r="C145" s="9"/>
      <c r="D145" s="10" t="str">
        <f t="shared" si="6"/>
        <v/>
      </c>
      <c r="E145" s="10" t="str">
        <f>IF(D145="","",D145-SETUP!$B$4)</f>
        <v/>
      </c>
      <c r="F145" s="10">
        <f>SETUP!$B$3</f>
        <v>0.45</v>
      </c>
      <c r="G145" s="10" t="str">
        <f t="shared" si="7"/>
        <v/>
      </c>
      <c r="H145" s="11" t="str">
        <f t="shared" si="8"/>
        <v/>
      </c>
    </row>
    <row r="146" spans="1:8" x14ac:dyDescent="0.3">
      <c r="A146" s="8"/>
      <c r="B146" s="9"/>
      <c r="C146" s="9"/>
      <c r="D146" s="10" t="str">
        <f t="shared" si="6"/>
        <v/>
      </c>
      <c r="E146" s="10" t="str">
        <f>IF(D146="","",D146-SETUP!$B$4)</f>
        <v/>
      </c>
      <c r="F146" s="10">
        <f>SETUP!$B$3</f>
        <v>0.45</v>
      </c>
      <c r="G146" s="10" t="str">
        <f t="shared" si="7"/>
        <v/>
      </c>
      <c r="H146" s="11" t="str">
        <f t="shared" si="8"/>
        <v/>
      </c>
    </row>
    <row r="147" spans="1:8" x14ac:dyDescent="0.3">
      <c r="A147" s="8"/>
      <c r="B147" s="9"/>
      <c r="C147" s="9"/>
      <c r="D147" s="10" t="str">
        <f t="shared" si="6"/>
        <v/>
      </c>
      <c r="E147" s="10" t="str">
        <f>IF(D147="","",D147-SETUP!$B$4)</f>
        <v/>
      </c>
      <c r="F147" s="10">
        <f>SETUP!$B$3</f>
        <v>0.45</v>
      </c>
      <c r="G147" s="10" t="str">
        <f t="shared" si="7"/>
        <v/>
      </c>
      <c r="H147" s="11" t="str">
        <f t="shared" si="8"/>
        <v/>
      </c>
    </row>
    <row r="148" spans="1:8" x14ac:dyDescent="0.3">
      <c r="A148" s="8"/>
      <c r="B148" s="9"/>
      <c r="C148" s="9"/>
      <c r="D148" s="10" t="str">
        <f t="shared" si="6"/>
        <v/>
      </c>
      <c r="E148" s="10" t="str">
        <f>IF(D148="","",D148-SETUP!$B$4)</f>
        <v/>
      </c>
      <c r="F148" s="10">
        <f>SETUP!$B$3</f>
        <v>0.45</v>
      </c>
      <c r="G148" s="10" t="str">
        <f t="shared" si="7"/>
        <v/>
      </c>
      <c r="H148" s="11" t="str">
        <f t="shared" si="8"/>
        <v/>
      </c>
    </row>
    <row r="149" spans="1:8" x14ac:dyDescent="0.3">
      <c r="A149" s="8"/>
      <c r="B149" s="9"/>
      <c r="C149" s="9"/>
      <c r="D149" s="10" t="str">
        <f t="shared" si="6"/>
        <v/>
      </c>
      <c r="E149" s="10" t="str">
        <f>IF(D149="","",D149-SETUP!$B$4)</f>
        <v/>
      </c>
      <c r="F149" s="10">
        <f>SETUP!$B$3</f>
        <v>0.45</v>
      </c>
      <c r="G149" s="10" t="str">
        <f t="shared" si="7"/>
        <v/>
      </c>
      <c r="H149" s="11" t="str">
        <f t="shared" si="8"/>
        <v/>
      </c>
    </row>
    <row r="150" spans="1:8" x14ac:dyDescent="0.3">
      <c r="A150" s="8"/>
      <c r="B150" s="9"/>
      <c r="C150" s="9"/>
      <c r="D150" s="10" t="str">
        <f t="shared" si="6"/>
        <v/>
      </c>
      <c r="E150" s="10" t="str">
        <f>IF(D150="","",D150-SETUP!$B$4)</f>
        <v/>
      </c>
      <c r="F150" s="10">
        <f>SETUP!$B$3</f>
        <v>0.45</v>
      </c>
      <c r="G150" s="10" t="str">
        <f t="shared" si="7"/>
        <v/>
      </c>
      <c r="H150" s="11" t="str">
        <f t="shared" si="8"/>
        <v/>
      </c>
    </row>
    <row r="151" spans="1:8" x14ac:dyDescent="0.3">
      <c r="A151" s="8"/>
      <c r="B151" s="9"/>
      <c r="C151" s="9"/>
      <c r="D151" s="10" t="str">
        <f t="shared" si="6"/>
        <v/>
      </c>
      <c r="E151" s="10" t="str">
        <f>IF(D151="","",D151-SETUP!$B$4)</f>
        <v/>
      </c>
      <c r="F151" s="10">
        <f>SETUP!$B$3</f>
        <v>0.45</v>
      </c>
      <c r="G151" s="10" t="str">
        <f t="shared" si="7"/>
        <v/>
      </c>
      <c r="H151" s="11" t="str">
        <f t="shared" si="8"/>
        <v/>
      </c>
    </row>
    <row r="152" spans="1:8" x14ac:dyDescent="0.3">
      <c r="A152" s="8"/>
      <c r="B152" s="9"/>
      <c r="C152" s="9"/>
      <c r="D152" s="10" t="str">
        <f t="shared" si="6"/>
        <v/>
      </c>
      <c r="E152" s="10" t="str">
        <f>IF(D152="","",D152-SETUP!$B$4)</f>
        <v/>
      </c>
      <c r="F152" s="10">
        <f>SETUP!$B$3</f>
        <v>0.45</v>
      </c>
      <c r="G152" s="10" t="str">
        <f t="shared" si="7"/>
        <v/>
      </c>
      <c r="H152" s="11" t="str">
        <f t="shared" si="8"/>
        <v/>
      </c>
    </row>
    <row r="153" spans="1:8" x14ac:dyDescent="0.3">
      <c r="A153" s="8"/>
      <c r="B153" s="9"/>
      <c r="C153" s="9"/>
      <c r="D153" s="10" t="str">
        <f t="shared" si="6"/>
        <v/>
      </c>
      <c r="E153" s="10" t="str">
        <f>IF(D153="","",D153-SETUP!$B$4)</f>
        <v/>
      </c>
      <c r="F153" s="10">
        <f>SETUP!$B$3</f>
        <v>0.45</v>
      </c>
      <c r="G153" s="10" t="str">
        <f t="shared" si="7"/>
        <v/>
      </c>
      <c r="H153" s="11" t="str">
        <f t="shared" si="8"/>
        <v/>
      </c>
    </row>
    <row r="154" spans="1:8" x14ac:dyDescent="0.3">
      <c r="A154" s="8"/>
      <c r="B154" s="9"/>
      <c r="C154" s="9"/>
      <c r="D154" s="10" t="str">
        <f t="shared" si="6"/>
        <v/>
      </c>
      <c r="E154" s="10" t="str">
        <f>IF(D154="","",D154-SETUP!$B$4)</f>
        <v/>
      </c>
      <c r="F154" s="10">
        <f>SETUP!$B$3</f>
        <v>0.45</v>
      </c>
      <c r="G154" s="10" t="str">
        <f t="shared" si="7"/>
        <v/>
      </c>
      <c r="H154" s="11" t="str">
        <f t="shared" si="8"/>
        <v/>
      </c>
    </row>
    <row r="155" spans="1:8" x14ac:dyDescent="0.3">
      <c r="A155" s="8"/>
      <c r="B155" s="9"/>
      <c r="C155" s="9"/>
      <c r="D155" s="10" t="str">
        <f t="shared" si="6"/>
        <v/>
      </c>
      <c r="E155" s="10" t="str">
        <f>IF(D155="","",D155-SETUP!$B$4)</f>
        <v/>
      </c>
      <c r="F155" s="10">
        <f>SETUP!$B$3</f>
        <v>0.45</v>
      </c>
      <c r="G155" s="10" t="str">
        <f t="shared" si="7"/>
        <v/>
      </c>
      <c r="H155" s="11" t="str">
        <f t="shared" si="8"/>
        <v/>
      </c>
    </row>
    <row r="156" spans="1:8" x14ac:dyDescent="0.3">
      <c r="A156" s="8"/>
      <c r="B156" s="9"/>
      <c r="C156" s="9"/>
      <c r="D156" s="10" t="str">
        <f t="shared" si="6"/>
        <v/>
      </c>
      <c r="E156" s="10" t="str">
        <f>IF(D156="","",D156-SETUP!$B$4)</f>
        <v/>
      </c>
      <c r="F156" s="10">
        <f>SETUP!$B$3</f>
        <v>0.45</v>
      </c>
      <c r="G156" s="10" t="str">
        <f t="shared" si="7"/>
        <v/>
      </c>
      <c r="H156" s="11" t="str">
        <f t="shared" si="8"/>
        <v/>
      </c>
    </row>
    <row r="157" spans="1:8" x14ac:dyDescent="0.3">
      <c r="A157" s="8"/>
      <c r="B157" s="9"/>
      <c r="C157" s="9"/>
      <c r="D157" s="10" t="str">
        <f t="shared" si="6"/>
        <v/>
      </c>
      <c r="E157" s="10" t="str">
        <f>IF(D157="","",D157-SETUP!$B$4)</f>
        <v/>
      </c>
      <c r="F157" s="10">
        <f>SETUP!$B$3</f>
        <v>0.45</v>
      </c>
      <c r="G157" s="10" t="str">
        <f t="shared" si="7"/>
        <v/>
      </c>
      <c r="H157" s="11" t="str">
        <f t="shared" si="8"/>
        <v/>
      </c>
    </row>
    <row r="158" spans="1:8" x14ac:dyDescent="0.3">
      <c r="A158" s="8"/>
      <c r="B158" s="9"/>
      <c r="C158" s="9"/>
      <c r="D158" s="10" t="str">
        <f t="shared" si="6"/>
        <v/>
      </c>
      <c r="E158" s="10" t="str">
        <f>IF(D158="","",D158-SETUP!$B$4)</f>
        <v/>
      </c>
      <c r="F158" s="10">
        <f>SETUP!$B$3</f>
        <v>0.45</v>
      </c>
      <c r="G158" s="10" t="str">
        <f t="shared" si="7"/>
        <v/>
      </c>
      <c r="H158" s="11" t="str">
        <f t="shared" si="8"/>
        <v/>
      </c>
    </row>
    <row r="159" spans="1:8" x14ac:dyDescent="0.3">
      <c r="A159" s="8"/>
      <c r="B159" s="9"/>
      <c r="C159" s="9"/>
      <c r="D159" s="10" t="str">
        <f t="shared" si="6"/>
        <v/>
      </c>
      <c r="E159" s="10" t="str">
        <f>IF(D159="","",D159-SETUP!$B$4)</f>
        <v/>
      </c>
      <c r="F159" s="10">
        <f>SETUP!$B$3</f>
        <v>0.45</v>
      </c>
      <c r="G159" s="10" t="str">
        <f t="shared" si="7"/>
        <v/>
      </c>
      <c r="H159" s="11" t="str">
        <f t="shared" si="8"/>
        <v/>
      </c>
    </row>
    <row r="160" spans="1:8" x14ac:dyDescent="0.3">
      <c r="A160" s="8"/>
      <c r="B160" s="9"/>
      <c r="C160" s="9"/>
      <c r="D160" s="10" t="str">
        <f t="shared" si="6"/>
        <v/>
      </c>
      <c r="E160" s="10" t="str">
        <f>IF(D160="","",D160-SETUP!$B$4)</f>
        <v/>
      </c>
      <c r="F160" s="10">
        <f>SETUP!$B$3</f>
        <v>0.45</v>
      </c>
      <c r="G160" s="10" t="str">
        <f t="shared" si="7"/>
        <v/>
      </c>
      <c r="H160" s="11" t="str">
        <f t="shared" si="8"/>
        <v/>
      </c>
    </row>
    <row r="161" spans="1:8" x14ac:dyDescent="0.3">
      <c r="A161" s="8"/>
      <c r="B161" s="9"/>
      <c r="C161" s="9"/>
      <c r="D161" s="10" t="str">
        <f t="shared" si="6"/>
        <v/>
      </c>
      <c r="E161" s="10" t="str">
        <f>IF(D161="","",D161-SETUP!$B$4)</f>
        <v/>
      </c>
      <c r="F161" s="10">
        <f>SETUP!$B$3</f>
        <v>0.45</v>
      </c>
      <c r="G161" s="10" t="str">
        <f t="shared" si="7"/>
        <v/>
      </c>
      <c r="H161" s="11" t="str">
        <f t="shared" si="8"/>
        <v/>
      </c>
    </row>
    <row r="162" spans="1:8" x14ac:dyDescent="0.3">
      <c r="A162" s="8"/>
      <c r="B162" s="9"/>
      <c r="C162" s="9"/>
      <c r="D162" s="10" t="str">
        <f t="shared" si="6"/>
        <v/>
      </c>
      <c r="E162" s="10" t="str">
        <f>IF(D162="","",D162-SETUP!$B$4)</f>
        <v/>
      </c>
      <c r="F162" s="10">
        <f>SETUP!$B$3</f>
        <v>0.45</v>
      </c>
      <c r="G162" s="10" t="str">
        <f t="shared" si="7"/>
        <v/>
      </c>
      <c r="H162" s="11" t="str">
        <f t="shared" si="8"/>
        <v/>
      </c>
    </row>
    <row r="163" spans="1:8" x14ac:dyDescent="0.3">
      <c r="A163" s="8"/>
      <c r="B163" s="9"/>
      <c r="C163" s="9"/>
      <c r="D163" s="10" t="str">
        <f t="shared" si="6"/>
        <v/>
      </c>
      <c r="E163" s="10" t="str">
        <f>IF(D163="","",D163-SETUP!$B$4)</f>
        <v/>
      </c>
      <c r="F163" s="10">
        <f>SETUP!$B$3</f>
        <v>0.45</v>
      </c>
      <c r="G163" s="10" t="str">
        <f t="shared" si="7"/>
        <v/>
      </c>
      <c r="H163" s="11" t="str">
        <f t="shared" si="8"/>
        <v/>
      </c>
    </row>
    <row r="164" spans="1:8" x14ac:dyDescent="0.3">
      <c r="A164" s="8"/>
      <c r="B164" s="9"/>
      <c r="C164" s="9"/>
      <c r="D164" s="10" t="str">
        <f t="shared" si="6"/>
        <v/>
      </c>
      <c r="E164" s="10" t="str">
        <f>IF(D164="","",D164-SETUP!$B$4)</f>
        <v/>
      </c>
      <c r="F164" s="10">
        <f>SETUP!$B$3</f>
        <v>0.45</v>
      </c>
      <c r="G164" s="10" t="str">
        <f t="shared" si="7"/>
        <v/>
      </c>
      <c r="H164" s="11" t="str">
        <f t="shared" si="8"/>
        <v/>
      </c>
    </row>
    <row r="165" spans="1:8" x14ac:dyDescent="0.3">
      <c r="A165" s="8"/>
      <c r="B165" s="9"/>
      <c r="C165" s="9"/>
      <c r="D165" s="10" t="str">
        <f t="shared" si="6"/>
        <v/>
      </c>
      <c r="E165" s="10" t="str">
        <f>IF(D165="","",D165-SETUP!$B$4)</f>
        <v/>
      </c>
      <c r="F165" s="10">
        <f>SETUP!$B$3</f>
        <v>0.45</v>
      </c>
      <c r="G165" s="10" t="str">
        <f t="shared" si="7"/>
        <v/>
      </c>
      <c r="H165" s="11" t="str">
        <f t="shared" si="8"/>
        <v/>
      </c>
    </row>
    <row r="166" spans="1:8" x14ac:dyDescent="0.3">
      <c r="A166" s="8"/>
      <c r="B166" s="9"/>
      <c r="C166" s="9"/>
      <c r="D166" s="10" t="str">
        <f t="shared" si="6"/>
        <v/>
      </c>
      <c r="E166" s="10" t="str">
        <f>IF(D166="","",D166-SETUP!$B$4)</f>
        <v/>
      </c>
      <c r="F166" s="10">
        <f>SETUP!$B$3</f>
        <v>0.45</v>
      </c>
      <c r="G166" s="10" t="str">
        <f t="shared" si="7"/>
        <v/>
      </c>
      <c r="H166" s="11" t="str">
        <f t="shared" si="8"/>
        <v/>
      </c>
    </row>
    <row r="167" spans="1:8" x14ac:dyDescent="0.3">
      <c r="A167" s="8"/>
      <c r="B167" s="9"/>
      <c r="C167" s="9"/>
      <c r="D167" s="10" t="str">
        <f t="shared" si="6"/>
        <v/>
      </c>
      <c r="E167" s="10" t="str">
        <f>IF(D167="","",D167-SETUP!$B$4)</f>
        <v/>
      </c>
      <c r="F167" s="10">
        <f>SETUP!$B$3</f>
        <v>0.45</v>
      </c>
      <c r="G167" s="10" t="str">
        <f t="shared" si="7"/>
        <v/>
      </c>
      <c r="H167" s="11" t="str">
        <f t="shared" si="8"/>
        <v/>
      </c>
    </row>
    <row r="168" spans="1:8" x14ac:dyDescent="0.3">
      <c r="A168" s="8"/>
      <c r="B168" s="9"/>
      <c r="C168" s="9"/>
      <c r="D168" s="10" t="str">
        <f t="shared" si="6"/>
        <v/>
      </c>
      <c r="E168" s="10" t="str">
        <f>IF(D168="","",D168-SETUP!$B$4)</f>
        <v/>
      </c>
      <c r="F168" s="10">
        <f>SETUP!$B$3</f>
        <v>0.45</v>
      </c>
      <c r="G168" s="10" t="str">
        <f t="shared" si="7"/>
        <v/>
      </c>
      <c r="H168" s="11" t="str">
        <f t="shared" si="8"/>
        <v/>
      </c>
    </row>
    <row r="169" spans="1:8" x14ac:dyDescent="0.3">
      <c r="A169" s="8"/>
      <c r="B169" s="9"/>
      <c r="C169" s="9"/>
      <c r="D169" s="10" t="str">
        <f t="shared" si="6"/>
        <v/>
      </c>
      <c r="E169" s="10" t="str">
        <f>IF(D169="","",D169-SETUP!$B$4)</f>
        <v/>
      </c>
      <c r="F169" s="10">
        <f>SETUP!$B$3</f>
        <v>0.45</v>
      </c>
      <c r="G169" s="10" t="str">
        <f t="shared" si="7"/>
        <v/>
      </c>
      <c r="H169" s="11" t="str">
        <f t="shared" si="8"/>
        <v/>
      </c>
    </row>
    <row r="170" spans="1:8" x14ac:dyDescent="0.3">
      <c r="A170" s="8"/>
      <c r="B170" s="9"/>
      <c r="C170" s="9"/>
      <c r="D170" s="10" t="str">
        <f t="shared" si="6"/>
        <v/>
      </c>
      <c r="E170" s="10" t="str">
        <f>IF(D170="","",D170-SETUP!$B$4)</f>
        <v/>
      </c>
      <c r="F170" s="10">
        <f>SETUP!$B$3</f>
        <v>0.45</v>
      </c>
      <c r="G170" s="10" t="str">
        <f t="shared" si="7"/>
        <v/>
      </c>
      <c r="H170" s="11" t="str">
        <f t="shared" si="8"/>
        <v/>
      </c>
    </row>
    <row r="171" spans="1:8" x14ac:dyDescent="0.3">
      <c r="A171" s="8"/>
      <c r="B171" s="9"/>
      <c r="C171" s="9"/>
      <c r="D171" s="10" t="str">
        <f t="shared" si="6"/>
        <v/>
      </c>
      <c r="E171" s="10" t="str">
        <f>IF(D171="","",D171-SETUP!$B$4)</f>
        <v/>
      </c>
      <c r="F171" s="10">
        <f>SETUP!$B$3</f>
        <v>0.45</v>
      </c>
      <c r="G171" s="10" t="str">
        <f t="shared" si="7"/>
        <v/>
      </c>
      <c r="H171" s="11" t="str">
        <f t="shared" si="8"/>
        <v/>
      </c>
    </row>
    <row r="172" spans="1:8" x14ac:dyDescent="0.3">
      <c r="A172" s="8"/>
      <c r="B172" s="9"/>
      <c r="C172" s="9"/>
      <c r="D172" s="10" t="str">
        <f t="shared" si="6"/>
        <v/>
      </c>
      <c r="E172" s="10" t="str">
        <f>IF(D172="","",D172-SETUP!$B$4)</f>
        <v/>
      </c>
      <c r="F172" s="10">
        <f>SETUP!$B$3</f>
        <v>0.45</v>
      </c>
      <c r="G172" s="10" t="str">
        <f t="shared" si="7"/>
        <v/>
      </c>
      <c r="H172" s="11" t="str">
        <f t="shared" si="8"/>
        <v/>
      </c>
    </row>
    <row r="173" spans="1:8" x14ac:dyDescent="0.3">
      <c r="A173" s="8"/>
      <c r="B173" s="9"/>
      <c r="C173" s="9"/>
      <c r="D173" s="10" t="str">
        <f t="shared" si="6"/>
        <v/>
      </c>
      <c r="E173" s="10" t="str">
        <f>IF(D173="","",D173-SETUP!$B$4)</f>
        <v/>
      </c>
      <c r="F173" s="10">
        <f>SETUP!$B$3</f>
        <v>0.45</v>
      </c>
      <c r="G173" s="10" t="str">
        <f t="shared" si="7"/>
        <v/>
      </c>
      <c r="H173" s="11" t="str">
        <f t="shared" si="8"/>
        <v/>
      </c>
    </row>
    <row r="174" spans="1:8" x14ac:dyDescent="0.3">
      <c r="A174" s="8"/>
      <c r="B174" s="9"/>
      <c r="C174" s="9"/>
      <c r="D174" s="10" t="str">
        <f t="shared" si="6"/>
        <v/>
      </c>
      <c r="E174" s="10" t="str">
        <f>IF(D174="","",D174-SETUP!$B$4)</f>
        <v/>
      </c>
      <c r="F174" s="10">
        <f>SETUP!$B$3</f>
        <v>0.45</v>
      </c>
      <c r="G174" s="10" t="str">
        <f t="shared" si="7"/>
        <v/>
      </c>
      <c r="H174" s="11" t="str">
        <f t="shared" si="8"/>
        <v/>
      </c>
    </row>
    <row r="175" spans="1:8" x14ac:dyDescent="0.3">
      <c r="A175" s="8"/>
      <c r="B175" s="9"/>
      <c r="C175" s="9"/>
      <c r="D175" s="10" t="str">
        <f t="shared" si="6"/>
        <v/>
      </c>
      <c r="E175" s="10" t="str">
        <f>IF(D175="","",D175-SETUP!$B$4)</f>
        <v/>
      </c>
      <c r="F175" s="10">
        <f>SETUP!$B$3</f>
        <v>0.45</v>
      </c>
      <c r="G175" s="10" t="str">
        <f t="shared" si="7"/>
        <v/>
      </c>
      <c r="H175" s="11" t="str">
        <f t="shared" si="8"/>
        <v/>
      </c>
    </row>
    <row r="176" spans="1:8" x14ac:dyDescent="0.3">
      <c r="A176" s="8"/>
      <c r="B176" s="9"/>
      <c r="C176" s="9"/>
      <c r="D176" s="10" t="str">
        <f t="shared" si="6"/>
        <v/>
      </c>
      <c r="E176" s="10" t="str">
        <f>IF(D176="","",D176-SETUP!$B$4)</f>
        <v/>
      </c>
      <c r="F176" s="10">
        <f>SETUP!$B$3</f>
        <v>0.45</v>
      </c>
      <c r="G176" s="10" t="str">
        <f t="shared" si="7"/>
        <v/>
      </c>
      <c r="H176" s="11" t="str">
        <f t="shared" si="8"/>
        <v/>
      </c>
    </row>
    <row r="177" spans="1:8" x14ac:dyDescent="0.3">
      <c r="A177" s="8"/>
      <c r="B177" s="9"/>
      <c r="C177" s="9"/>
      <c r="D177" s="10" t="str">
        <f t="shared" si="6"/>
        <v/>
      </c>
      <c r="E177" s="10" t="str">
        <f>IF(D177="","",D177-SETUP!$B$4)</f>
        <v/>
      </c>
      <c r="F177" s="10">
        <f>SETUP!$B$3</f>
        <v>0.45</v>
      </c>
      <c r="G177" s="10" t="str">
        <f t="shared" si="7"/>
        <v/>
      </c>
      <c r="H177" s="11" t="str">
        <f t="shared" si="8"/>
        <v/>
      </c>
    </row>
    <row r="178" spans="1:8" x14ac:dyDescent="0.3">
      <c r="A178" s="8"/>
      <c r="B178" s="9"/>
      <c r="C178" s="9"/>
      <c r="D178" s="10" t="str">
        <f t="shared" si="6"/>
        <v/>
      </c>
      <c r="E178" s="10" t="str">
        <f>IF(D178="","",D178-SETUP!$B$4)</f>
        <v/>
      </c>
      <c r="F178" s="10">
        <f>SETUP!$B$3</f>
        <v>0.45</v>
      </c>
      <c r="G178" s="10" t="str">
        <f t="shared" si="7"/>
        <v/>
      </c>
      <c r="H178" s="11" t="str">
        <f t="shared" si="8"/>
        <v/>
      </c>
    </row>
    <row r="179" spans="1:8" x14ac:dyDescent="0.3">
      <c r="A179" s="8"/>
      <c r="B179" s="9"/>
      <c r="C179" s="9"/>
      <c r="D179" s="10" t="str">
        <f t="shared" si="6"/>
        <v/>
      </c>
      <c r="E179" s="10" t="str">
        <f>IF(D179="","",D179-SETUP!$B$4)</f>
        <v/>
      </c>
      <c r="F179" s="10">
        <f>SETUP!$B$3</f>
        <v>0.45</v>
      </c>
      <c r="G179" s="10" t="str">
        <f t="shared" si="7"/>
        <v/>
      </c>
      <c r="H179" s="11" t="str">
        <f t="shared" si="8"/>
        <v/>
      </c>
    </row>
    <row r="180" spans="1:8" x14ac:dyDescent="0.3">
      <c r="A180" s="8"/>
      <c r="B180" s="9"/>
      <c r="C180" s="9"/>
      <c r="D180" s="10" t="str">
        <f t="shared" si="6"/>
        <v/>
      </c>
      <c r="E180" s="10" t="str">
        <f>IF(D180="","",D180-SETUP!$B$4)</f>
        <v/>
      </c>
      <c r="F180" s="10">
        <f>SETUP!$B$3</f>
        <v>0.45</v>
      </c>
      <c r="G180" s="10" t="str">
        <f t="shared" si="7"/>
        <v/>
      </c>
      <c r="H180" s="11" t="str">
        <f t="shared" si="8"/>
        <v/>
      </c>
    </row>
    <row r="181" spans="1:8" x14ac:dyDescent="0.3">
      <c r="A181" s="8"/>
      <c r="B181" s="9"/>
      <c r="C181" s="9"/>
      <c r="D181" s="10" t="str">
        <f t="shared" si="6"/>
        <v/>
      </c>
      <c r="E181" s="10" t="str">
        <f>IF(D181="","",D181-SETUP!$B$4)</f>
        <v/>
      </c>
      <c r="F181" s="10">
        <f>SETUP!$B$3</f>
        <v>0.45</v>
      </c>
      <c r="G181" s="10" t="str">
        <f t="shared" si="7"/>
        <v/>
      </c>
      <c r="H181" s="11" t="str">
        <f t="shared" si="8"/>
        <v/>
      </c>
    </row>
    <row r="182" spans="1:8" x14ac:dyDescent="0.3">
      <c r="A182" s="8"/>
      <c r="B182" s="9"/>
      <c r="C182" s="9"/>
      <c r="D182" s="10" t="str">
        <f t="shared" si="6"/>
        <v/>
      </c>
      <c r="E182" s="10" t="str">
        <f>IF(D182="","",D182-SETUP!$B$4)</f>
        <v/>
      </c>
      <c r="F182" s="10">
        <f>SETUP!$B$3</f>
        <v>0.45</v>
      </c>
      <c r="G182" s="10" t="str">
        <f t="shared" si="7"/>
        <v/>
      </c>
      <c r="H182" s="11" t="str">
        <f t="shared" si="8"/>
        <v/>
      </c>
    </row>
    <row r="183" spans="1:8" x14ac:dyDescent="0.3">
      <c r="A183" s="8"/>
      <c r="B183" s="9"/>
      <c r="C183" s="9"/>
      <c r="D183" s="10" t="str">
        <f t="shared" si="6"/>
        <v/>
      </c>
      <c r="E183" s="10" t="str">
        <f>IF(D183="","",D183-SETUP!$B$4)</f>
        <v/>
      </c>
      <c r="F183" s="10">
        <f>SETUP!$B$3</f>
        <v>0.45</v>
      </c>
      <c r="G183" s="10" t="str">
        <f t="shared" si="7"/>
        <v/>
      </c>
      <c r="H183" s="11" t="str">
        <f t="shared" si="8"/>
        <v/>
      </c>
    </row>
    <row r="184" spans="1:8" x14ac:dyDescent="0.3">
      <c r="A184" s="8"/>
      <c r="B184" s="9"/>
      <c r="C184" s="9"/>
      <c r="D184" s="10" t="str">
        <f t="shared" si="6"/>
        <v/>
      </c>
      <c r="E184" s="10" t="str">
        <f>IF(D184="","",D184-SETUP!$B$4)</f>
        <v/>
      </c>
      <c r="F184" s="10">
        <f>SETUP!$B$3</f>
        <v>0.45</v>
      </c>
      <c r="G184" s="10" t="str">
        <f t="shared" si="7"/>
        <v/>
      </c>
      <c r="H184" s="11" t="str">
        <f t="shared" si="8"/>
        <v/>
      </c>
    </row>
    <row r="185" spans="1:8" x14ac:dyDescent="0.3">
      <c r="A185" s="8"/>
      <c r="B185" s="9"/>
      <c r="C185" s="9"/>
      <c r="D185" s="10" t="str">
        <f t="shared" si="6"/>
        <v/>
      </c>
      <c r="E185" s="10" t="str">
        <f>IF(D185="","",D185-SETUP!$B$4)</f>
        <v/>
      </c>
      <c r="F185" s="10">
        <f>SETUP!$B$3</f>
        <v>0.45</v>
      </c>
      <c r="G185" s="10" t="str">
        <f t="shared" si="7"/>
        <v/>
      </c>
      <c r="H185" s="11" t="str">
        <f t="shared" si="8"/>
        <v/>
      </c>
    </row>
    <row r="186" spans="1:8" x14ac:dyDescent="0.3">
      <c r="A186" s="8"/>
      <c r="B186" s="9"/>
      <c r="C186" s="9"/>
      <c r="D186" s="10" t="str">
        <f t="shared" si="6"/>
        <v/>
      </c>
      <c r="E186" s="10" t="str">
        <f>IF(D186="","",D186-SETUP!$B$4)</f>
        <v/>
      </c>
      <c r="F186" s="10">
        <f>SETUP!$B$3</f>
        <v>0.45</v>
      </c>
      <c r="G186" s="10" t="str">
        <f t="shared" si="7"/>
        <v/>
      </c>
      <c r="H186" s="11" t="str">
        <f t="shared" si="8"/>
        <v/>
      </c>
    </row>
    <row r="187" spans="1:8" x14ac:dyDescent="0.3">
      <c r="A187" s="8"/>
      <c r="B187" s="9"/>
      <c r="C187" s="9"/>
      <c r="D187" s="10" t="str">
        <f t="shared" si="6"/>
        <v/>
      </c>
      <c r="E187" s="10" t="str">
        <f>IF(D187="","",D187-SETUP!$B$4)</f>
        <v/>
      </c>
      <c r="F187" s="10">
        <f>SETUP!$B$3</f>
        <v>0.45</v>
      </c>
      <c r="G187" s="10" t="str">
        <f t="shared" si="7"/>
        <v/>
      </c>
      <c r="H187" s="11" t="str">
        <f t="shared" si="8"/>
        <v/>
      </c>
    </row>
    <row r="188" spans="1:8" x14ac:dyDescent="0.3">
      <c r="A188" s="8"/>
      <c r="B188" s="9"/>
      <c r="C188" s="9"/>
      <c r="D188" s="10" t="str">
        <f t="shared" si="6"/>
        <v/>
      </c>
      <c r="E188" s="10" t="str">
        <f>IF(D188="","",D188-SETUP!$B$4)</f>
        <v/>
      </c>
      <c r="F188" s="10">
        <f>SETUP!$B$3</f>
        <v>0.45</v>
      </c>
      <c r="G188" s="10" t="str">
        <f t="shared" si="7"/>
        <v/>
      </c>
      <c r="H188" s="11" t="str">
        <f t="shared" si="8"/>
        <v/>
      </c>
    </row>
    <row r="189" spans="1:8" x14ac:dyDescent="0.3">
      <c r="A189" s="8"/>
      <c r="B189" s="9"/>
      <c r="C189" s="9"/>
      <c r="D189" s="10" t="str">
        <f t="shared" si="6"/>
        <v/>
      </c>
      <c r="E189" s="10" t="str">
        <f>IF(D189="","",D189-SETUP!$B$4)</f>
        <v/>
      </c>
      <c r="F189" s="10">
        <f>SETUP!$B$3</f>
        <v>0.45</v>
      </c>
      <c r="G189" s="10" t="str">
        <f t="shared" si="7"/>
        <v/>
      </c>
      <c r="H189" s="11" t="str">
        <f t="shared" si="8"/>
        <v/>
      </c>
    </row>
    <row r="190" spans="1:8" x14ac:dyDescent="0.3">
      <c r="A190" s="8"/>
      <c r="B190" s="9"/>
      <c r="C190" s="9"/>
      <c r="D190" s="10" t="str">
        <f t="shared" si="6"/>
        <v/>
      </c>
      <c r="E190" s="10" t="str">
        <f>IF(D190="","",D190-SETUP!$B$4)</f>
        <v/>
      </c>
      <c r="F190" s="10">
        <f>SETUP!$B$3</f>
        <v>0.45</v>
      </c>
      <c r="G190" s="10" t="str">
        <f t="shared" si="7"/>
        <v/>
      </c>
      <c r="H190" s="11" t="str">
        <f t="shared" si="8"/>
        <v/>
      </c>
    </row>
    <row r="191" spans="1:8" x14ac:dyDescent="0.3">
      <c r="A191" s="8"/>
      <c r="B191" s="9"/>
      <c r="C191" s="9"/>
      <c r="D191" s="10" t="str">
        <f t="shared" si="6"/>
        <v/>
      </c>
      <c r="E191" s="10" t="str">
        <f>IF(D191="","",D191-SETUP!$B$4)</f>
        <v/>
      </c>
      <c r="F191" s="10">
        <f>SETUP!$B$3</f>
        <v>0.45</v>
      </c>
      <c r="G191" s="10" t="str">
        <f t="shared" si="7"/>
        <v/>
      </c>
      <c r="H191" s="11" t="str">
        <f t="shared" si="8"/>
        <v/>
      </c>
    </row>
    <row r="192" spans="1:8" x14ac:dyDescent="0.3">
      <c r="A192" s="8"/>
      <c r="B192" s="9"/>
      <c r="C192" s="9"/>
      <c r="D192" s="10" t="str">
        <f t="shared" si="6"/>
        <v/>
      </c>
      <c r="E192" s="10" t="str">
        <f>IF(D192="","",D192-SETUP!$B$4)</f>
        <v/>
      </c>
      <c r="F192" s="10">
        <f>SETUP!$B$3</f>
        <v>0.45</v>
      </c>
      <c r="G192" s="10" t="str">
        <f t="shared" si="7"/>
        <v/>
      </c>
      <c r="H192" s="11" t="str">
        <f t="shared" si="8"/>
        <v/>
      </c>
    </row>
    <row r="193" spans="1:8" x14ac:dyDescent="0.3">
      <c r="A193" s="8"/>
      <c r="B193" s="9"/>
      <c r="C193" s="9"/>
      <c r="D193" s="10" t="str">
        <f t="shared" si="6"/>
        <v/>
      </c>
      <c r="E193" s="10" t="str">
        <f>IF(D193="","",D193-SETUP!$B$4)</f>
        <v/>
      </c>
      <c r="F193" s="10">
        <f>SETUP!$B$3</f>
        <v>0.45</v>
      </c>
      <c r="G193" s="10" t="str">
        <f t="shared" si="7"/>
        <v/>
      </c>
      <c r="H193" s="11" t="str">
        <f t="shared" si="8"/>
        <v/>
      </c>
    </row>
    <row r="194" spans="1:8" x14ac:dyDescent="0.3">
      <c r="A194" s="8"/>
      <c r="B194" s="9"/>
      <c r="C194" s="9"/>
      <c r="D194" s="10" t="str">
        <f t="shared" si="6"/>
        <v/>
      </c>
      <c r="E194" s="10" t="str">
        <f>IF(D194="","",D194-SETUP!$B$4)</f>
        <v/>
      </c>
      <c r="F194" s="10">
        <f>SETUP!$B$3</f>
        <v>0.45</v>
      </c>
      <c r="G194" s="10" t="str">
        <f t="shared" si="7"/>
        <v/>
      </c>
      <c r="H194" s="11" t="str">
        <f t="shared" si="8"/>
        <v/>
      </c>
    </row>
    <row r="195" spans="1:8" x14ac:dyDescent="0.3">
      <c r="A195" s="8"/>
      <c r="B195" s="9"/>
      <c r="C195" s="9"/>
      <c r="D195" s="10" t="str">
        <f t="shared" si="6"/>
        <v/>
      </c>
      <c r="E195" s="10" t="str">
        <f>IF(D195="","",D195-SETUP!$B$4)</f>
        <v/>
      </c>
      <c r="F195" s="10">
        <f>SETUP!$B$3</f>
        <v>0.45</v>
      </c>
      <c r="G195" s="10" t="str">
        <f t="shared" si="7"/>
        <v/>
      </c>
      <c r="H195" s="11" t="str">
        <f t="shared" si="8"/>
        <v/>
      </c>
    </row>
    <row r="196" spans="1:8" x14ac:dyDescent="0.3">
      <c r="A196" s="8"/>
      <c r="B196" s="9"/>
      <c r="C196" s="9"/>
      <c r="D196" s="10" t="str">
        <f t="shared" ref="D196:D259" si="9">IF(B196&gt;0,(B196-C196)/B196,"")</f>
        <v/>
      </c>
      <c r="E196" s="10" t="str">
        <f>IF(D196="","",D196-SETUP!$B$4)</f>
        <v/>
      </c>
      <c r="F196" s="10">
        <f>SETUP!$B$3</f>
        <v>0.45</v>
      </c>
      <c r="G196" s="10" t="str">
        <f t="shared" ref="G196:G259" si="10">IF(E196="","",E196-F196)</f>
        <v/>
      </c>
      <c r="H196" s="11" t="str">
        <f t="shared" ref="H196:H259" si="11">IF(G196="","",IF(G196&lt;0,"BELOW TARGET","ON / ABOVE TARGET"))</f>
        <v/>
      </c>
    </row>
    <row r="197" spans="1:8" x14ac:dyDescent="0.3">
      <c r="A197" s="8"/>
      <c r="B197" s="9"/>
      <c r="C197" s="9"/>
      <c r="D197" s="10" t="str">
        <f t="shared" si="9"/>
        <v/>
      </c>
      <c r="E197" s="10" t="str">
        <f>IF(D197="","",D197-SETUP!$B$4)</f>
        <v/>
      </c>
      <c r="F197" s="10">
        <f>SETUP!$B$3</f>
        <v>0.45</v>
      </c>
      <c r="G197" s="10" t="str">
        <f t="shared" si="10"/>
        <v/>
      </c>
      <c r="H197" s="11" t="str">
        <f t="shared" si="11"/>
        <v/>
      </c>
    </row>
    <row r="198" spans="1:8" x14ac:dyDescent="0.3">
      <c r="A198" s="8"/>
      <c r="B198" s="9"/>
      <c r="C198" s="9"/>
      <c r="D198" s="10" t="str">
        <f t="shared" si="9"/>
        <v/>
      </c>
      <c r="E198" s="10" t="str">
        <f>IF(D198="","",D198-SETUP!$B$4)</f>
        <v/>
      </c>
      <c r="F198" s="10">
        <f>SETUP!$B$3</f>
        <v>0.45</v>
      </c>
      <c r="G198" s="10" t="str">
        <f t="shared" si="10"/>
        <v/>
      </c>
      <c r="H198" s="11" t="str">
        <f t="shared" si="11"/>
        <v/>
      </c>
    </row>
    <row r="199" spans="1:8" x14ac:dyDescent="0.3">
      <c r="A199" s="8"/>
      <c r="B199" s="9"/>
      <c r="C199" s="9"/>
      <c r="D199" s="10" t="str">
        <f t="shared" si="9"/>
        <v/>
      </c>
      <c r="E199" s="10" t="str">
        <f>IF(D199="","",D199-SETUP!$B$4)</f>
        <v/>
      </c>
      <c r="F199" s="10">
        <f>SETUP!$B$3</f>
        <v>0.45</v>
      </c>
      <c r="G199" s="10" t="str">
        <f t="shared" si="10"/>
        <v/>
      </c>
      <c r="H199" s="11" t="str">
        <f t="shared" si="11"/>
        <v/>
      </c>
    </row>
    <row r="200" spans="1:8" x14ac:dyDescent="0.3">
      <c r="A200" s="8"/>
      <c r="B200" s="9"/>
      <c r="C200" s="9"/>
      <c r="D200" s="10" t="str">
        <f t="shared" si="9"/>
        <v/>
      </c>
      <c r="E200" s="10" t="str">
        <f>IF(D200="","",D200-SETUP!$B$4)</f>
        <v/>
      </c>
      <c r="F200" s="10">
        <f>SETUP!$B$3</f>
        <v>0.45</v>
      </c>
      <c r="G200" s="10" t="str">
        <f t="shared" si="10"/>
        <v/>
      </c>
      <c r="H200" s="11" t="str">
        <f t="shared" si="11"/>
        <v/>
      </c>
    </row>
    <row r="201" spans="1:8" x14ac:dyDescent="0.3">
      <c r="A201" s="8"/>
      <c r="B201" s="9"/>
      <c r="C201" s="9"/>
      <c r="D201" s="10" t="str">
        <f t="shared" si="9"/>
        <v/>
      </c>
      <c r="E201" s="10" t="str">
        <f>IF(D201="","",D201-SETUP!$B$4)</f>
        <v/>
      </c>
      <c r="F201" s="10">
        <f>SETUP!$B$3</f>
        <v>0.45</v>
      </c>
      <c r="G201" s="10" t="str">
        <f t="shared" si="10"/>
        <v/>
      </c>
      <c r="H201" s="11" t="str">
        <f t="shared" si="11"/>
        <v/>
      </c>
    </row>
    <row r="202" spans="1:8" x14ac:dyDescent="0.3">
      <c r="A202" s="8"/>
      <c r="B202" s="9"/>
      <c r="C202" s="9"/>
      <c r="D202" s="10" t="str">
        <f t="shared" si="9"/>
        <v/>
      </c>
      <c r="E202" s="10" t="str">
        <f>IF(D202="","",D202-SETUP!$B$4)</f>
        <v/>
      </c>
      <c r="F202" s="10">
        <f>SETUP!$B$3</f>
        <v>0.45</v>
      </c>
      <c r="G202" s="10" t="str">
        <f t="shared" si="10"/>
        <v/>
      </c>
      <c r="H202" s="11" t="str">
        <f t="shared" si="11"/>
        <v/>
      </c>
    </row>
    <row r="203" spans="1:8" x14ac:dyDescent="0.3">
      <c r="A203" s="8"/>
      <c r="B203" s="9"/>
      <c r="C203" s="9"/>
      <c r="D203" s="10" t="str">
        <f t="shared" si="9"/>
        <v/>
      </c>
      <c r="E203" s="10" t="str">
        <f>IF(D203="","",D203-SETUP!$B$4)</f>
        <v/>
      </c>
      <c r="F203" s="10">
        <f>SETUP!$B$3</f>
        <v>0.45</v>
      </c>
      <c r="G203" s="10" t="str">
        <f t="shared" si="10"/>
        <v/>
      </c>
      <c r="H203" s="11" t="str">
        <f t="shared" si="11"/>
        <v/>
      </c>
    </row>
    <row r="204" spans="1:8" x14ac:dyDescent="0.3">
      <c r="A204" s="8"/>
      <c r="B204" s="9"/>
      <c r="C204" s="9"/>
      <c r="D204" s="10" t="str">
        <f t="shared" si="9"/>
        <v/>
      </c>
      <c r="E204" s="10" t="str">
        <f>IF(D204="","",D204-SETUP!$B$4)</f>
        <v/>
      </c>
      <c r="F204" s="10">
        <f>SETUP!$B$3</f>
        <v>0.45</v>
      </c>
      <c r="G204" s="10" t="str">
        <f t="shared" si="10"/>
        <v/>
      </c>
      <c r="H204" s="11" t="str">
        <f t="shared" si="11"/>
        <v/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SETUP</vt:lpstr>
      <vt:lpstr>MARGIN_TRACKER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 Battistini</cp:lastModifiedBy>
  <dcterms:created xsi:type="dcterms:W3CDTF">2026-01-22T04:46:23Z</dcterms:created>
  <dcterms:modified xsi:type="dcterms:W3CDTF">2026-01-22T04:52:26Z</dcterms:modified>
</cp:coreProperties>
</file>