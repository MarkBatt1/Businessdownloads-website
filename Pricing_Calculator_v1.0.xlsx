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fantasticthings-my.sharepoint.com/personal/mbattistini_troveuk_com/Documents/TROVE - NEW/Website uploads/Spreadsheets/"/>
    </mc:Choice>
  </mc:AlternateContent>
  <xr:revisionPtr revIDLastSave="0" documentId="8_{0135A1CF-22AC-4B5D-8C5B-29D7621FAF2A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NSTRUCTIONS" sheetId="1" r:id="rId1"/>
    <sheet name="SETUP" sheetId="2" r:id="rId2"/>
    <sheet name="CALCULATO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3" i="3" l="1"/>
  <c r="I203" i="3"/>
  <c r="H203" i="3"/>
  <c r="G203" i="3"/>
  <c r="F203" i="3"/>
  <c r="E203" i="3"/>
  <c r="J203" i="3" s="1"/>
  <c r="D203" i="3"/>
  <c r="K202" i="3"/>
  <c r="I202" i="3"/>
  <c r="H202" i="3"/>
  <c r="G202" i="3"/>
  <c r="F202" i="3"/>
  <c r="E202" i="3"/>
  <c r="J202" i="3" s="1"/>
  <c r="D202" i="3"/>
  <c r="K201" i="3"/>
  <c r="I201" i="3"/>
  <c r="H201" i="3"/>
  <c r="G201" i="3"/>
  <c r="F201" i="3"/>
  <c r="E201" i="3"/>
  <c r="J201" i="3" s="1"/>
  <c r="D201" i="3"/>
  <c r="K200" i="3"/>
  <c r="I200" i="3"/>
  <c r="H200" i="3"/>
  <c r="G200" i="3"/>
  <c r="F200" i="3"/>
  <c r="E200" i="3"/>
  <c r="J200" i="3" s="1"/>
  <c r="D200" i="3"/>
  <c r="K199" i="3"/>
  <c r="I199" i="3"/>
  <c r="H199" i="3"/>
  <c r="G199" i="3"/>
  <c r="F199" i="3"/>
  <c r="E199" i="3"/>
  <c r="J199" i="3" s="1"/>
  <c r="D199" i="3"/>
  <c r="K198" i="3"/>
  <c r="I198" i="3"/>
  <c r="H198" i="3"/>
  <c r="G198" i="3"/>
  <c r="F198" i="3"/>
  <c r="E198" i="3"/>
  <c r="J198" i="3" s="1"/>
  <c r="D198" i="3"/>
  <c r="K197" i="3"/>
  <c r="I197" i="3"/>
  <c r="H197" i="3"/>
  <c r="G197" i="3"/>
  <c r="F197" i="3"/>
  <c r="E197" i="3"/>
  <c r="J197" i="3" s="1"/>
  <c r="D197" i="3"/>
  <c r="K196" i="3"/>
  <c r="I196" i="3"/>
  <c r="H196" i="3"/>
  <c r="G196" i="3"/>
  <c r="F196" i="3"/>
  <c r="E196" i="3"/>
  <c r="J196" i="3" s="1"/>
  <c r="D196" i="3"/>
  <c r="K195" i="3"/>
  <c r="I195" i="3"/>
  <c r="H195" i="3"/>
  <c r="G195" i="3"/>
  <c r="F195" i="3"/>
  <c r="E195" i="3"/>
  <c r="J195" i="3" s="1"/>
  <c r="D195" i="3"/>
  <c r="K194" i="3"/>
  <c r="I194" i="3"/>
  <c r="H194" i="3"/>
  <c r="G194" i="3"/>
  <c r="F194" i="3"/>
  <c r="E194" i="3"/>
  <c r="J194" i="3" s="1"/>
  <c r="D194" i="3"/>
  <c r="K193" i="3"/>
  <c r="I193" i="3"/>
  <c r="H193" i="3"/>
  <c r="G193" i="3"/>
  <c r="F193" i="3"/>
  <c r="E193" i="3"/>
  <c r="J193" i="3" s="1"/>
  <c r="D193" i="3"/>
  <c r="K192" i="3"/>
  <c r="I192" i="3"/>
  <c r="H192" i="3"/>
  <c r="G192" i="3"/>
  <c r="F192" i="3"/>
  <c r="E192" i="3"/>
  <c r="J192" i="3" s="1"/>
  <c r="D192" i="3"/>
  <c r="K191" i="3"/>
  <c r="I191" i="3"/>
  <c r="H191" i="3"/>
  <c r="G191" i="3"/>
  <c r="F191" i="3"/>
  <c r="E191" i="3"/>
  <c r="J191" i="3" s="1"/>
  <c r="D191" i="3"/>
  <c r="K190" i="3"/>
  <c r="I190" i="3"/>
  <c r="H190" i="3"/>
  <c r="G190" i="3"/>
  <c r="F190" i="3"/>
  <c r="E190" i="3"/>
  <c r="J190" i="3" s="1"/>
  <c r="D190" i="3"/>
  <c r="K189" i="3"/>
  <c r="I189" i="3"/>
  <c r="H189" i="3"/>
  <c r="G189" i="3"/>
  <c r="F189" i="3"/>
  <c r="E189" i="3"/>
  <c r="J189" i="3" s="1"/>
  <c r="D189" i="3"/>
  <c r="K188" i="3"/>
  <c r="I188" i="3"/>
  <c r="H188" i="3"/>
  <c r="G188" i="3"/>
  <c r="F188" i="3"/>
  <c r="E188" i="3"/>
  <c r="J188" i="3" s="1"/>
  <c r="D188" i="3"/>
  <c r="K187" i="3"/>
  <c r="I187" i="3"/>
  <c r="H187" i="3"/>
  <c r="G187" i="3"/>
  <c r="F187" i="3"/>
  <c r="E187" i="3"/>
  <c r="J187" i="3" s="1"/>
  <c r="D187" i="3"/>
  <c r="K186" i="3"/>
  <c r="I186" i="3"/>
  <c r="H186" i="3"/>
  <c r="G186" i="3"/>
  <c r="F186" i="3"/>
  <c r="E186" i="3"/>
  <c r="J186" i="3" s="1"/>
  <c r="D186" i="3"/>
  <c r="K185" i="3"/>
  <c r="I185" i="3"/>
  <c r="H185" i="3"/>
  <c r="G185" i="3"/>
  <c r="F185" i="3"/>
  <c r="E185" i="3"/>
  <c r="J185" i="3" s="1"/>
  <c r="D185" i="3"/>
  <c r="K184" i="3"/>
  <c r="I184" i="3"/>
  <c r="H184" i="3"/>
  <c r="G184" i="3"/>
  <c r="F184" i="3"/>
  <c r="E184" i="3"/>
  <c r="J184" i="3" s="1"/>
  <c r="D184" i="3"/>
  <c r="K183" i="3"/>
  <c r="I183" i="3"/>
  <c r="H183" i="3"/>
  <c r="G183" i="3"/>
  <c r="F183" i="3"/>
  <c r="E183" i="3"/>
  <c r="J183" i="3" s="1"/>
  <c r="D183" i="3"/>
  <c r="K182" i="3"/>
  <c r="I182" i="3"/>
  <c r="H182" i="3"/>
  <c r="G182" i="3"/>
  <c r="F182" i="3"/>
  <c r="E182" i="3"/>
  <c r="J182" i="3" s="1"/>
  <c r="D182" i="3"/>
  <c r="K181" i="3"/>
  <c r="I181" i="3"/>
  <c r="H181" i="3"/>
  <c r="G181" i="3"/>
  <c r="F181" i="3"/>
  <c r="E181" i="3"/>
  <c r="J181" i="3" s="1"/>
  <c r="D181" i="3"/>
  <c r="K180" i="3"/>
  <c r="I180" i="3"/>
  <c r="H180" i="3"/>
  <c r="G180" i="3"/>
  <c r="F180" i="3"/>
  <c r="E180" i="3"/>
  <c r="J180" i="3" s="1"/>
  <c r="D180" i="3"/>
  <c r="K179" i="3"/>
  <c r="I179" i="3"/>
  <c r="H179" i="3"/>
  <c r="G179" i="3"/>
  <c r="F179" i="3"/>
  <c r="E179" i="3"/>
  <c r="J179" i="3" s="1"/>
  <c r="D179" i="3"/>
  <c r="K178" i="3"/>
  <c r="I178" i="3"/>
  <c r="H178" i="3"/>
  <c r="G178" i="3"/>
  <c r="F178" i="3"/>
  <c r="E178" i="3"/>
  <c r="J178" i="3" s="1"/>
  <c r="D178" i="3"/>
  <c r="K177" i="3"/>
  <c r="I177" i="3"/>
  <c r="H177" i="3"/>
  <c r="G177" i="3"/>
  <c r="F177" i="3"/>
  <c r="E177" i="3"/>
  <c r="J177" i="3" s="1"/>
  <c r="D177" i="3"/>
  <c r="K176" i="3"/>
  <c r="I176" i="3"/>
  <c r="H176" i="3"/>
  <c r="G176" i="3"/>
  <c r="F176" i="3"/>
  <c r="E176" i="3"/>
  <c r="J176" i="3" s="1"/>
  <c r="D176" i="3"/>
  <c r="K175" i="3"/>
  <c r="I175" i="3"/>
  <c r="H175" i="3"/>
  <c r="G175" i="3"/>
  <c r="F175" i="3"/>
  <c r="E175" i="3"/>
  <c r="J175" i="3" s="1"/>
  <c r="D175" i="3"/>
  <c r="K174" i="3"/>
  <c r="I174" i="3"/>
  <c r="H174" i="3"/>
  <c r="G174" i="3"/>
  <c r="F174" i="3"/>
  <c r="E174" i="3"/>
  <c r="J174" i="3" s="1"/>
  <c r="D174" i="3"/>
  <c r="K173" i="3"/>
  <c r="I173" i="3"/>
  <c r="H173" i="3"/>
  <c r="G173" i="3"/>
  <c r="F173" i="3"/>
  <c r="E173" i="3"/>
  <c r="J173" i="3" s="1"/>
  <c r="D173" i="3"/>
  <c r="K172" i="3"/>
  <c r="I172" i="3"/>
  <c r="H172" i="3"/>
  <c r="G172" i="3"/>
  <c r="F172" i="3"/>
  <c r="E172" i="3"/>
  <c r="J172" i="3" s="1"/>
  <c r="D172" i="3"/>
  <c r="K171" i="3"/>
  <c r="I171" i="3"/>
  <c r="H171" i="3"/>
  <c r="G171" i="3"/>
  <c r="F171" i="3"/>
  <c r="E171" i="3"/>
  <c r="J171" i="3" s="1"/>
  <c r="D171" i="3"/>
  <c r="K170" i="3"/>
  <c r="I170" i="3"/>
  <c r="H170" i="3"/>
  <c r="G170" i="3"/>
  <c r="F170" i="3"/>
  <c r="E170" i="3"/>
  <c r="J170" i="3" s="1"/>
  <c r="D170" i="3"/>
  <c r="K169" i="3"/>
  <c r="I169" i="3"/>
  <c r="H169" i="3"/>
  <c r="G169" i="3"/>
  <c r="F169" i="3"/>
  <c r="E169" i="3"/>
  <c r="J169" i="3" s="1"/>
  <c r="D169" i="3"/>
  <c r="K168" i="3"/>
  <c r="I168" i="3"/>
  <c r="H168" i="3"/>
  <c r="G168" i="3"/>
  <c r="F168" i="3"/>
  <c r="E168" i="3"/>
  <c r="J168" i="3" s="1"/>
  <c r="D168" i="3"/>
  <c r="K167" i="3"/>
  <c r="I167" i="3"/>
  <c r="H167" i="3"/>
  <c r="G167" i="3"/>
  <c r="F167" i="3"/>
  <c r="E167" i="3"/>
  <c r="J167" i="3" s="1"/>
  <c r="D167" i="3"/>
  <c r="K166" i="3"/>
  <c r="I166" i="3"/>
  <c r="H166" i="3"/>
  <c r="G166" i="3"/>
  <c r="F166" i="3"/>
  <c r="E166" i="3"/>
  <c r="J166" i="3" s="1"/>
  <c r="D166" i="3"/>
  <c r="K165" i="3"/>
  <c r="I165" i="3"/>
  <c r="H165" i="3"/>
  <c r="G165" i="3"/>
  <c r="F165" i="3"/>
  <c r="E165" i="3"/>
  <c r="J165" i="3" s="1"/>
  <c r="D165" i="3"/>
  <c r="K164" i="3"/>
  <c r="I164" i="3"/>
  <c r="H164" i="3"/>
  <c r="G164" i="3"/>
  <c r="F164" i="3"/>
  <c r="E164" i="3"/>
  <c r="J164" i="3" s="1"/>
  <c r="D164" i="3"/>
  <c r="K163" i="3"/>
  <c r="I163" i="3"/>
  <c r="H163" i="3"/>
  <c r="G163" i="3"/>
  <c r="F163" i="3"/>
  <c r="E163" i="3"/>
  <c r="J163" i="3" s="1"/>
  <c r="D163" i="3"/>
  <c r="K162" i="3"/>
  <c r="I162" i="3"/>
  <c r="H162" i="3"/>
  <c r="G162" i="3"/>
  <c r="F162" i="3"/>
  <c r="E162" i="3"/>
  <c r="J162" i="3" s="1"/>
  <c r="D162" i="3"/>
  <c r="K161" i="3"/>
  <c r="I161" i="3"/>
  <c r="H161" i="3"/>
  <c r="G161" i="3"/>
  <c r="F161" i="3"/>
  <c r="E161" i="3"/>
  <c r="J161" i="3" s="1"/>
  <c r="D161" i="3"/>
  <c r="K160" i="3"/>
  <c r="I160" i="3"/>
  <c r="H160" i="3"/>
  <c r="G160" i="3"/>
  <c r="F160" i="3"/>
  <c r="E160" i="3"/>
  <c r="J160" i="3" s="1"/>
  <c r="D160" i="3"/>
  <c r="K159" i="3"/>
  <c r="I159" i="3"/>
  <c r="H159" i="3"/>
  <c r="G159" i="3"/>
  <c r="F159" i="3"/>
  <c r="E159" i="3"/>
  <c r="J159" i="3" s="1"/>
  <c r="D159" i="3"/>
  <c r="K158" i="3"/>
  <c r="I158" i="3"/>
  <c r="H158" i="3"/>
  <c r="G158" i="3"/>
  <c r="F158" i="3"/>
  <c r="E158" i="3"/>
  <c r="J158" i="3" s="1"/>
  <c r="D158" i="3"/>
  <c r="K157" i="3"/>
  <c r="I157" i="3"/>
  <c r="H157" i="3"/>
  <c r="G157" i="3"/>
  <c r="F157" i="3"/>
  <c r="E157" i="3"/>
  <c r="J157" i="3" s="1"/>
  <c r="D157" i="3"/>
  <c r="K156" i="3"/>
  <c r="I156" i="3"/>
  <c r="H156" i="3"/>
  <c r="G156" i="3"/>
  <c r="F156" i="3"/>
  <c r="E156" i="3"/>
  <c r="J156" i="3" s="1"/>
  <c r="D156" i="3"/>
  <c r="K155" i="3"/>
  <c r="I155" i="3"/>
  <c r="H155" i="3"/>
  <c r="G155" i="3"/>
  <c r="F155" i="3"/>
  <c r="E155" i="3"/>
  <c r="J155" i="3" s="1"/>
  <c r="D155" i="3"/>
  <c r="K154" i="3"/>
  <c r="I154" i="3"/>
  <c r="H154" i="3"/>
  <c r="G154" i="3"/>
  <c r="F154" i="3"/>
  <c r="E154" i="3"/>
  <c r="J154" i="3" s="1"/>
  <c r="D154" i="3"/>
  <c r="K153" i="3"/>
  <c r="I153" i="3"/>
  <c r="H153" i="3"/>
  <c r="G153" i="3"/>
  <c r="F153" i="3"/>
  <c r="E153" i="3"/>
  <c r="J153" i="3" s="1"/>
  <c r="D153" i="3"/>
  <c r="K152" i="3"/>
  <c r="I152" i="3"/>
  <c r="H152" i="3"/>
  <c r="G152" i="3"/>
  <c r="F152" i="3"/>
  <c r="E152" i="3"/>
  <c r="J152" i="3" s="1"/>
  <c r="D152" i="3"/>
  <c r="K151" i="3"/>
  <c r="I151" i="3"/>
  <c r="H151" i="3"/>
  <c r="G151" i="3"/>
  <c r="F151" i="3"/>
  <c r="E151" i="3"/>
  <c r="J151" i="3" s="1"/>
  <c r="D151" i="3"/>
  <c r="K150" i="3"/>
  <c r="I150" i="3"/>
  <c r="H150" i="3"/>
  <c r="G150" i="3"/>
  <c r="F150" i="3"/>
  <c r="E150" i="3"/>
  <c r="J150" i="3" s="1"/>
  <c r="D150" i="3"/>
  <c r="K149" i="3"/>
  <c r="I149" i="3"/>
  <c r="H149" i="3"/>
  <c r="G149" i="3"/>
  <c r="F149" i="3"/>
  <c r="E149" i="3"/>
  <c r="J149" i="3" s="1"/>
  <c r="D149" i="3"/>
  <c r="K148" i="3"/>
  <c r="I148" i="3"/>
  <c r="H148" i="3"/>
  <c r="G148" i="3"/>
  <c r="F148" i="3"/>
  <c r="E148" i="3"/>
  <c r="J148" i="3" s="1"/>
  <c r="D148" i="3"/>
  <c r="K147" i="3"/>
  <c r="I147" i="3"/>
  <c r="H147" i="3"/>
  <c r="G147" i="3"/>
  <c r="F147" i="3"/>
  <c r="E147" i="3"/>
  <c r="J147" i="3" s="1"/>
  <c r="D147" i="3"/>
  <c r="K146" i="3"/>
  <c r="I146" i="3"/>
  <c r="H146" i="3"/>
  <c r="G146" i="3"/>
  <c r="F146" i="3"/>
  <c r="E146" i="3"/>
  <c r="J146" i="3" s="1"/>
  <c r="D146" i="3"/>
  <c r="K145" i="3"/>
  <c r="I145" i="3"/>
  <c r="H145" i="3"/>
  <c r="G145" i="3"/>
  <c r="F145" i="3"/>
  <c r="E145" i="3"/>
  <c r="J145" i="3" s="1"/>
  <c r="D145" i="3"/>
  <c r="K144" i="3"/>
  <c r="I144" i="3"/>
  <c r="H144" i="3"/>
  <c r="G144" i="3"/>
  <c r="F144" i="3"/>
  <c r="E144" i="3"/>
  <c r="J144" i="3" s="1"/>
  <c r="D144" i="3"/>
  <c r="K143" i="3"/>
  <c r="I143" i="3"/>
  <c r="H143" i="3"/>
  <c r="G143" i="3"/>
  <c r="F143" i="3"/>
  <c r="E143" i="3"/>
  <c r="J143" i="3" s="1"/>
  <c r="D143" i="3"/>
  <c r="K142" i="3"/>
  <c r="I142" i="3"/>
  <c r="H142" i="3"/>
  <c r="G142" i="3"/>
  <c r="F142" i="3"/>
  <c r="E142" i="3"/>
  <c r="J142" i="3" s="1"/>
  <c r="D142" i="3"/>
  <c r="K141" i="3"/>
  <c r="I141" i="3"/>
  <c r="H141" i="3"/>
  <c r="G141" i="3"/>
  <c r="F141" i="3"/>
  <c r="E141" i="3"/>
  <c r="J141" i="3" s="1"/>
  <c r="D141" i="3"/>
  <c r="K140" i="3"/>
  <c r="I140" i="3"/>
  <c r="H140" i="3"/>
  <c r="G140" i="3"/>
  <c r="F140" i="3"/>
  <c r="E140" i="3"/>
  <c r="J140" i="3" s="1"/>
  <c r="D140" i="3"/>
  <c r="K139" i="3"/>
  <c r="I139" i="3"/>
  <c r="H139" i="3"/>
  <c r="G139" i="3"/>
  <c r="F139" i="3"/>
  <c r="E139" i="3"/>
  <c r="J139" i="3" s="1"/>
  <c r="D139" i="3"/>
  <c r="K138" i="3"/>
  <c r="I138" i="3"/>
  <c r="H138" i="3"/>
  <c r="G138" i="3"/>
  <c r="F138" i="3"/>
  <c r="E138" i="3"/>
  <c r="J138" i="3" s="1"/>
  <c r="D138" i="3"/>
  <c r="K137" i="3"/>
  <c r="I137" i="3"/>
  <c r="H137" i="3"/>
  <c r="G137" i="3"/>
  <c r="F137" i="3"/>
  <c r="E137" i="3"/>
  <c r="J137" i="3" s="1"/>
  <c r="D137" i="3"/>
  <c r="K136" i="3"/>
  <c r="I136" i="3"/>
  <c r="H136" i="3"/>
  <c r="G136" i="3"/>
  <c r="F136" i="3"/>
  <c r="E136" i="3"/>
  <c r="J136" i="3" s="1"/>
  <c r="D136" i="3"/>
  <c r="K135" i="3"/>
  <c r="I135" i="3"/>
  <c r="H135" i="3"/>
  <c r="G135" i="3"/>
  <c r="F135" i="3"/>
  <c r="E135" i="3"/>
  <c r="J135" i="3" s="1"/>
  <c r="D135" i="3"/>
  <c r="K134" i="3"/>
  <c r="I134" i="3"/>
  <c r="H134" i="3"/>
  <c r="G134" i="3"/>
  <c r="F134" i="3"/>
  <c r="E134" i="3"/>
  <c r="J134" i="3" s="1"/>
  <c r="D134" i="3"/>
  <c r="K133" i="3"/>
  <c r="I133" i="3"/>
  <c r="H133" i="3"/>
  <c r="G133" i="3"/>
  <c r="F133" i="3"/>
  <c r="E133" i="3"/>
  <c r="J133" i="3" s="1"/>
  <c r="D133" i="3"/>
  <c r="K132" i="3"/>
  <c r="I132" i="3"/>
  <c r="H132" i="3"/>
  <c r="G132" i="3"/>
  <c r="F132" i="3"/>
  <c r="E132" i="3"/>
  <c r="J132" i="3" s="1"/>
  <c r="D132" i="3"/>
  <c r="K131" i="3"/>
  <c r="I131" i="3"/>
  <c r="H131" i="3"/>
  <c r="G131" i="3"/>
  <c r="F131" i="3"/>
  <c r="E131" i="3"/>
  <c r="J131" i="3" s="1"/>
  <c r="D131" i="3"/>
  <c r="K130" i="3"/>
  <c r="I130" i="3"/>
  <c r="H130" i="3"/>
  <c r="G130" i="3"/>
  <c r="F130" i="3"/>
  <c r="E130" i="3"/>
  <c r="J130" i="3" s="1"/>
  <c r="D130" i="3"/>
  <c r="K129" i="3"/>
  <c r="I129" i="3"/>
  <c r="H129" i="3"/>
  <c r="G129" i="3"/>
  <c r="F129" i="3"/>
  <c r="E129" i="3"/>
  <c r="J129" i="3" s="1"/>
  <c r="D129" i="3"/>
  <c r="K128" i="3"/>
  <c r="I128" i="3"/>
  <c r="H128" i="3"/>
  <c r="G128" i="3"/>
  <c r="F128" i="3"/>
  <c r="E128" i="3"/>
  <c r="J128" i="3" s="1"/>
  <c r="D128" i="3"/>
  <c r="K127" i="3"/>
  <c r="I127" i="3"/>
  <c r="H127" i="3"/>
  <c r="G127" i="3"/>
  <c r="F127" i="3"/>
  <c r="E127" i="3"/>
  <c r="J127" i="3" s="1"/>
  <c r="D127" i="3"/>
  <c r="K126" i="3"/>
  <c r="I126" i="3"/>
  <c r="H126" i="3"/>
  <c r="G126" i="3"/>
  <c r="F126" i="3"/>
  <c r="E126" i="3"/>
  <c r="J126" i="3" s="1"/>
  <c r="D126" i="3"/>
  <c r="K125" i="3"/>
  <c r="I125" i="3"/>
  <c r="H125" i="3"/>
  <c r="G125" i="3"/>
  <c r="F125" i="3"/>
  <c r="E125" i="3"/>
  <c r="J125" i="3" s="1"/>
  <c r="D125" i="3"/>
  <c r="K124" i="3"/>
  <c r="I124" i="3"/>
  <c r="H124" i="3"/>
  <c r="G124" i="3"/>
  <c r="F124" i="3"/>
  <c r="E124" i="3"/>
  <c r="J124" i="3" s="1"/>
  <c r="D124" i="3"/>
  <c r="K123" i="3"/>
  <c r="I123" i="3"/>
  <c r="H123" i="3"/>
  <c r="G123" i="3"/>
  <c r="F123" i="3"/>
  <c r="E123" i="3"/>
  <c r="J123" i="3" s="1"/>
  <c r="D123" i="3"/>
  <c r="K122" i="3"/>
  <c r="I122" i="3"/>
  <c r="H122" i="3"/>
  <c r="G122" i="3"/>
  <c r="F122" i="3"/>
  <c r="E122" i="3"/>
  <c r="J122" i="3" s="1"/>
  <c r="D122" i="3"/>
  <c r="K121" i="3"/>
  <c r="I121" i="3"/>
  <c r="H121" i="3"/>
  <c r="G121" i="3"/>
  <c r="F121" i="3"/>
  <c r="E121" i="3"/>
  <c r="J121" i="3" s="1"/>
  <c r="D121" i="3"/>
  <c r="K120" i="3"/>
  <c r="I120" i="3"/>
  <c r="H120" i="3"/>
  <c r="G120" i="3"/>
  <c r="F120" i="3"/>
  <c r="E120" i="3"/>
  <c r="J120" i="3" s="1"/>
  <c r="D120" i="3"/>
  <c r="K119" i="3"/>
  <c r="I119" i="3"/>
  <c r="H119" i="3"/>
  <c r="G119" i="3"/>
  <c r="F119" i="3"/>
  <c r="E119" i="3"/>
  <c r="J119" i="3" s="1"/>
  <c r="D119" i="3"/>
  <c r="K118" i="3"/>
  <c r="J118" i="3"/>
  <c r="I118" i="3"/>
  <c r="H118" i="3"/>
  <c r="G118" i="3"/>
  <c r="F118" i="3"/>
  <c r="E118" i="3"/>
  <c r="D118" i="3"/>
  <c r="K117" i="3"/>
  <c r="J117" i="3"/>
  <c r="I117" i="3"/>
  <c r="H117" i="3"/>
  <c r="G117" i="3"/>
  <c r="F117" i="3"/>
  <c r="E117" i="3"/>
  <c r="D117" i="3"/>
  <c r="K116" i="3"/>
  <c r="J116" i="3"/>
  <c r="I116" i="3"/>
  <c r="H116" i="3"/>
  <c r="G116" i="3"/>
  <c r="F116" i="3"/>
  <c r="E116" i="3"/>
  <c r="D116" i="3"/>
  <c r="K115" i="3"/>
  <c r="J115" i="3"/>
  <c r="I115" i="3"/>
  <c r="H115" i="3"/>
  <c r="G115" i="3"/>
  <c r="F115" i="3"/>
  <c r="E115" i="3"/>
  <c r="D115" i="3"/>
  <c r="K114" i="3"/>
  <c r="J114" i="3"/>
  <c r="I114" i="3"/>
  <c r="H114" i="3"/>
  <c r="G114" i="3"/>
  <c r="F114" i="3"/>
  <c r="E114" i="3"/>
  <c r="D114" i="3"/>
  <c r="K113" i="3"/>
  <c r="J113" i="3"/>
  <c r="I113" i="3"/>
  <c r="H113" i="3"/>
  <c r="G113" i="3"/>
  <c r="F113" i="3"/>
  <c r="E113" i="3"/>
  <c r="D113" i="3"/>
  <c r="K112" i="3"/>
  <c r="J112" i="3"/>
  <c r="I112" i="3"/>
  <c r="H112" i="3"/>
  <c r="G112" i="3"/>
  <c r="F112" i="3"/>
  <c r="E112" i="3"/>
  <c r="D112" i="3"/>
  <c r="K111" i="3"/>
  <c r="J111" i="3"/>
  <c r="I111" i="3"/>
  <c r="H111" i="3"/>
  <c r="G111" i="3"/>
  <c r="F111" i="3"/>
  <c r="E111" i="3"/>
  <c r="D111" i="3"/>
  <c r="K110" i="3"/>
  <c r="J110" i="3"/>
  <c r="I110" i="3"/>
  <c r="H110" i="3"/>
  <c r="G110" i="3"/>
  <c r="F110" i="3"/>
  <c r="E110" i="3"/>
  <c r="D110" i="3"/>
  <c r="K109" i="3"/>
  <c r="J109" i="3"/>
  <c r="I109" i="3"/>
  <c r="H109" i="3"/>
  <c r="G109" i="3"/>
  <c r="F109" i="3"/>
  <c r="E109" i="3"/>
  <c r="D109" i="3"/>
  <c r="K108" i="3"/>
  <c r="J108" i="3"/>
  <c r="I108" i="3"/>
  <c r="H108" i="3"/>
  <c r="G108" i="3"/>
  <c r="F108" i="3"/>
  <c r="E108" i="3"/>
  <c r="D108" i="3"/>
  <c r="K107" i="3"/>
  <c r="J107" i="3"/>
  <c r="I107" i="3"/>
  <c r="H107" i="3"/>
  <c r="G107" i="3"/>
  <c r="F107" i="3"/>
  <c r="E107" i="3"/>
  <c r="D107" i="3"/>
  <c r="K106" i="3"/>
  <c r="J106" i="3"/>
  <c r="I106" i="3"/>
  <c r="H106" i="3"/>
  <c r="G106" i="3"/>
  <c r="F106" i="3"/>
  <c r="E106" i="3"/>
  <c r="D106" i="3"/>
  <c r="K105" i="3"/>
  <c r="J105" i="3"/>
  <c r="I105" i="3"/>
  <c r="H105" i="3"/>
  <c r="G105" i="3"/>
  <c r="F105" i="3"/>
  <c r="E105" i="3"/>
  <c r="D105" i="3"/>
  <c r="K104" i="3"/>
  <c r="J104" i="3"/>
  <c r="I104" i="3"/>
  <c r="H104" i="3"/>
  <c r="G104" i="3"/>
  <c r="F104" i="3"/>
  <c r="E104" i="3"/>
  <c r="D104" i="3"/>
  <c r="K103" i="3"/>
  <c r="J103" i="3"/>
  <c r="I103" i="3"/>
  <c r="H103" i="3"/>
  <c r="G103" i="3"/>
  <c r="F103" i="3"/>
  <c r="E103" i="3"/>
  <c r="D103" i="3"/>
  <c r="K102" i="3"/>
  <c r="J102" i="3"/>
  <c r="I102" i="3"/>
  <c r="H102" i="3"/>
  <c r="G102" i="3"/>
  <c r="F102" i="3"/>
  <c r="E102" i="3"/>
  <c r="D102" i="3"/>
  <c r="K101" i="3"/>
  <c r="J101" i="3"/>
  <c r="I101" i="3"/>
  <c r="H101" i="3"/>
  <c r="G101" i="3"/>
  <c r="F101" i="3"/>
  <c r="E101" i="3"/>
  <c r="D101" i="3"/>
  <c r="K100" i="3"/>
  <c r="J100" i="3"/>
  <c r="I100" i="3"/>
  <c r="H100" i="3"/>
  <c r="G100" i="3"/>
  <c r="F100" i="3"/>
  <c r="E100" i="3"/>
  <c r="D100" i="3"/>
  <c r="K99" i="3"/>
  <c r="J99" i="3"/>
  <c r="I99" i="3"/>
  <c r="H99" i="3"/>
  <c r="G99" i="3"/>
  <c r="F99" i="3"/>
  <c r="E99" i="3"/>
  <c r="D99" i="3"/>
  <c r="K98" i="3"/>
  <c r="J98" i="3"/>
  <c r="I98" i="3"/>
  <c r="H98" i="3"/>
  <c r="G98" i="3"/>
  <c r="F98" i="3"/>
  <c r="E98" i="3"/>
  <c r="D98" i="3"/>
  <c r="K97" i="3"/>
  <c r="J97" i="3"/>
  <c r="I97" i="3"/>
  <c r="H97" i="3"/>
  <c r="G97" i="3"/>
  <c r="F97" i="3"/>
  <c r="E97" i="3"/>
  <c r="D97" i="3"/>
  <c r="K96" i="3"/>
  <c r="J96" i="3"/>
  <c r="I96" i="3"/>
  <c r="H96" i="3"/>
  <c r="G96" i="3"/>
  <c r="F96" i="3"/>
  <c r="E96" i="3"/>
  <c r="D96" i="3"/>
  <c r="K95" i="3"/>
  <c r="J95" i="3"/>
  <c r="I95" i="3"/>
  <c r="H95" i="3"/>
  <c r="G95" i="3"/>
  <c r="F95" i="3"/>
  <c r="E95" i="3"/>
  <c r="D95" i="3"/>
  <c r="K94" i="3"/>
  <c r="J94" i="3"/>
  <c r="I94" i="3"/>
  <c r="H94" i="3"/>
  <c r="G94" i="3"/>
  <c r="F94" i="3"/>
  <c r="E94" i="3"/>
  <c r="D94" i="3"/>
  <c r="K93" i="3"/>
  <c r="J93" i="3"/>
  <c r="I93" i="3"/>
  <c r="H93" i="3"/>
  <c r="G93" i="3"/>
  <c r="F93" i="3"/>
  <c r="E93" i="3"/>
  <c r="D93" i="3"/>
  <c r="K92" i="3"/>
  <c r="J92" i="3"/>
  <c r="I92" i="3"/>
  <c r="H92" i="3"/>
  <c r="G92" i="3"/>
  <c r="F92" i="3"/>
  <c r="E92" i="3"/>
  <c r="D92" i="3"/>
  <c r="K91" i="3"/>
  <c r="J91" i="3"/>
  <c r="I91" i="3"/>
  <c r="H91" i="3"/>
  <c r="G91" i="3"/>
  <c r="F91" i="3"/>
  <c r="E91" i="3"/>
  <c r="D91" i="3"/>
  <c r="K90" i="3"/>
  <c r="J90" i="3"/>
  <c r="I90" i="3"/>
  <c r="H90" i="3"/>
  <c r="G90" i="3"/>
  <c r="F90" i="3"/>
  <c r="E90" i="3"/>
  <c r="D90" i="3"/>
  <c r="K89" i="3"/>
  <c r="J89" i="3"/>
  <c r="I89" i="3"/>
  <c r="H89" i="3"/>
  <c r="G89" i="3"/>
  <c r="F89" i="3"/>
  <c r="E89" i="3"/>
  <c r="D89" i="3"/>
  <c r="K88" i="3"/>
  <c r="J88" i="3"/>
  <c r="I88" i="3"/>
  <c r="H88" i="3"/>
  <c r="G88" i="3"/>
  <c r="F88" i="3"/>
  <c r="E88" i="3"/>
  <c r="D88" i="3"/>
  <c r="K87" i="3"/>
  <c r="J87" i="3"/>
  <c r="I87" i="3"/>
  <c r="H87" i="3"/>
  <c r="G87" i="3"/>
  <c r="F87" i="3"/>
  <c r="E87" i="3"/>
  <c r="D87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3" i="3"/>
  <c r="J83" i="3"/>
  <c r="I83" i="3"/>
  <c r="H83" i="3"/>
  <c r="G83" i="3"/>
  <c r="F83" i="3"/>
  <c r="E83" i="3"/>
  <c r="D83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2" i="3"/>
  <c r="J52" i="3"/>
  <c r="I52" i="3"/>
  <c r="H52" i="3"/>
  <c r="G52" i="3"/>
  <c r="F52" i="3"/>
  <c r="E52" i="3"/>
  <c r="D52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H33" i="3"/>
  <c r="G33" i="3"/>
  <c r="F33" i="3"/>
  <c r="E33" i="3"/>
  <c r="D33" i="3"/>
  <c r="K32" i="3"/>
  <c r="J32" i="3"/>
  <c r="I32" i="3"/>
  <c r="H32" i="3"/>
  <c r="G32" i="3"/>
  <c r="F32" i="3"/>
  <c r="E32" i="3"/>
  <c r="D32" i="3"/>
  <c r="K31" i="3"/>
  <c r="J31" i="3"/>
  <c r="I31" i="3"/>
  <c r="H31" i="3"/>
  <c r="G31" i="3"/>
  <c r="F31" i="3"/>
  <c r="E31" i="3"/>
  <c r="D31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H28" i="3"/>
  <c r="G28" i="3"/>
  <c r="F28" i="3"/>
  <c r="E28" i="3"/>
  <c r="D28" i="3"/>
  <c r="K27" i="3"/>
  <c r="J27" i="3"/>
  <c r="I27" i="3"/>
  <c r="H27" i="3"/>
  <c r="G27" i="3"/>
  <c r="F27" i="3"/>
  <c r="E27" i="3"/>
  <c r="D27" i="3"/>
  <c r="K26" i="3"/>
  <c r="J26" i="3"/>
  <c r="I26" i="3"/>
  <c r="H26" i="3"/>
  <c r="G26" i="3"/>
  <c r="F26" i="3"/>
  <c r="E26" i="3"/>
  <c r="D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H23" i="3"/>
  <c r="G23" i="3"/>
  <c r="F23" i="3"/>
  <c r="E23" i="3"/>
  <c r="D23" i="3"/>
  <c r="K22" i="3"/>
  <c r="J22" i="3"/>
  <c r="I22" i="3"/>
  <c r="H22" i="3"/>
  <c r="G22" i="3"/>
  <c r="F22" i="3"/>
  <c r="E22" i="3"/>
  <c r="D22" i="3"/>
  <c r="K21" i="3"/>
  <c r="J21" i="3"/>
  <c r="I21" i="3"/>
  <c r="H21" i="3"/>
  <c r="G21" i="3"/>
  <c r="F21" i="3"/>
  <c r="E21" i="3"/>
  <c r="D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H18" i="3"/>
  <c r="G18" i="3"/>
  <c r="F18" i="3"/>
  <c r="E18" i="3"/>
  <c r="D18" i="3"/>
  <c r="K17" i="3"/>
  <c r="J17" i="3"/>
  <c r="I17" i="3"/>
  <c r="H17" i="3"/>
  <c r="G17" i="3"/>
  <c r="F17" i="3"/>
  <c r="E17" i="3"/>
  <c r="D17" i="3"/>
  <c r="K16" i="3"/>
  <c r="J16" i="3"/>
  <c r="I16" i="3"/>
  <c r="H16" i="3"/>
  <c r="G16" i="3"/>
  <c r="F16" i="3"/>
  <c r="E16" i="3"/>
  <c r="D16" i="3"/>
  <c r="K15" i="3"/>
  <c r="J15" i="3"/>
  <c r="I15" i="3"/>
  <c r="H15" i="3"/>
  <c r="G15" i="3"/>
  <c r="F15" i="3"/>
  <c r="E15" i="3"/>
  <c r="D15" i="3"/>
  <c r="K14" i="3"/>
  <c r="J14" i="3"/>
  <c r="I14" i="3"/>
  <c r="H14" i="3"/>
  <c r="G14" i="3"/>
  <c r="F14" i="3"/>
  <c r="E14" i="3"/>
  <c r="D14" i="3"/>
  <c r="K13" i="3"/>
  <c r="J13" i="3"/>
  <c r="I13" i="3"/>
  <c r="H13" i="3"/>
  <c r="G13" i="3"/>
  <c r="F13" i="3"/>
  <c r="E13" i="3"/>
  <c r="D13" i="3"/>
  <c r="K12" i="3"/>
  <c r="J12" i="3"/>
  <c r="I12" i="3"/>
  <c r="H12" i="3"/>
  <c r="G12" i="3"/>
  <c r="F12" i="3"/>
  <c r="E12" i="3"/>
  <c r="D12" i="3"/>
  <c r="K11" i="3"/>
  <c r="J11" i="3"/>
  <c r="I11" i="3"/>
  <c r="H11" i="3"/>
  <c r="G11" i="3"/>
  <c r="F11" i="3"/>
  <c r="E11" i="3"/>
  <c r="D11" i="3"/>
  <c r="K10" i="3"/>
  <c r="J10" i="3"/>
  <c r="I10" i="3"/>
  <c r="H10" i="3"/>
  <c r="G10" i="3"/>
  <c r="F10" i="3"/>
  <c r="E10" i="3"/>
  <c r="D10" i="3"/>
  <c r="K9" i="3"/>
  <c r="J9" i="3"/>
  <c r="I9" i="3"/>
  <c r="H9" i="3"/>
  <c r="G9" i="3"/>
  <c r="F9" i="3"/>
  <c r="E9" i="3"/>
  <c r="D9" i="3"/>
  <c r="K8" i="3"/>
  <c r="J8" i="3"/>
  <c r="I8" i="3"/>
  <c r="H8" i="3"/>
  <c r="G8" i="3"/>
  <c r="F8" i="3"/>
  <c r="E8" i="3"/>
  <c r="D8" i="3"/>
  <c r="K7" i="3"/>
  <c r="J7" i="3"/>
  <c r="I7" i="3"/>
  <c r="H7" i="3"/>
  <c r="G7" i="3"/>
  <c r="F7" i="3"/>
  <c r="E7" i="3"/>
  <c r="D7" i="3"/>
  <c r="K6" i="3"/>
  <c r="J6" i="3"/>
  <c r="I6" i="3"/>
  <c r="H6" i="3"/>
  <c r="G6" i="3"/>
  <c r="F6" i="3"/>
  <c r="E6" i="3"/>
  <c r="D6" i="3"/>
  <c r="K5" i="3"/>
  <c r="J5" i="3"/>
  <c r="I5" i="3"/>
  <c r="H5" i="3"/>
  <c r="G5" i="3"/>
  <c r="F5" i="3"/>
  <c r="E5" i="3"/>
  <c r="D5" i="3"/>
  <c r="K4" i="3"/>
  <c r="I4" i="3"/>
  <c r="H4" i="3"/>
  <c r="G4" i="3"/>
  <c r="F4" i="3"/>
  <c r="E4" i="3"/>
  <c r="J4" i="3" s="1"/>
  <c r="D4" i="3"/>
</calcChain>
</file>

<file path=xl/sharedStrings.xml><?xml version="1.0" encoding="utf-8"?>
<sst xmlns="http://schemas.openxmlformats.org/spreadsheetml/2006/main" count="44" uniqueCount="40">
  <si>
    <t>Pricing Calculator (Basic)</t>
  </si>
  <si>
    <t>What this does</t>
  </si>
  <si>
    <t>Enter your product costs and the margin you want. The sheet shows minimum, target and growth prices.</t>
  </si>
  <si>
    <t>Key points</t>
  </si>
  <si>
    <t>• Enter costs and prices EX VAT.</t>
  </si>
  <si>
    <t>• If you are VAT registered, the sheet also shows the INC VAT selling price.</t>
  </si>
  <si>
    <t>• Card fees are included in the 'target' price so your margin is not quietly eaten by fees.</t>
  </si>
  <si>
    <t>How to use</t>
  </si>
  <si>
    <t>1) Go to SETUP and fill in the yellow cells (your VAT and fee settings).</t>
  </si>
  <si>
    <t>2) Go to CALCULATOR and enter your products in the yellow columns.</t>
  </si>
  <si>
    <t>3) Read the price recommendations (Minimum / Target / Growth).</t>
  </si>
  <si>
    <t>Definitions</t>
  </si>
  <si>
    <t>Minimum Price: covers product cost + card fees only (survival floor).</t>
  </si>
  <si>
    <t>Target Price: covers product cost + target margin + card fees (sustainable).</t>
  </si>
  <si>
    <t>Growth Price: Target Price plus a small extra margin for growth (optional).</t>
  </si>
  <si>
    <t>SETUP (fill yellow cells)</t>
  </si>
  <si>
    <t>VAT registered? (Yes/No)</t>
  </si>
  <si>
    <t>No</t>
  </si>
  <si>
    <t>Tip</t>
  </si>
  <si>
    <t>Type Yes if you add VAT to your prices. Type No if you do not charge VAT.</t>
  </si>
  <si>
    <t>VAT rate (e.g. 20%)</t>
  </si>
  <si>
    <t>UK standard VAT is 20%. Leave as 20% unless you know yours is different.</t>
  </si>
  <si>
    <t>Card fees % (e.g. 1.8%)</t>
  </si>
  <si>
    <t>If unsure, use 1.5%–2.0%.</t>
  </si>
  <si>
    <t>Target margin % (e.g. 45%)</t>
  </si>
  <si>
    <t>If unsure, start with 40% and adjust.</t>
  </si>
  <si>
    <t>Extra margin for growth (optional, e.g. 10%)</t>
  </si>
  <si>
    <t>Leave as 10% if unsure. Set to 0% if you do not want a growth price.</t>
  </si>
  <si>
    <t>CALCULATOR (enter yellow cells)</t>
  </si>
  <si>
    <t>Item / Product</t>
  </si>
  <si>
    <t>Cost (ex VAT)</t>
  </si>
  <si>
    <t>Current Price (ex VAT) (optional)</t>
  </si>
  <si>
    <t>Minimum Price (ex VAT)</t>
  </si>
  <si>
    <t>Target Price (ex VAT)</t>
  </si>
  <si>
    <t>Growth Price (ex VAT)</t>
  </si>
  <si>
    <t>Target Price (inc VAT)</t>
  </si>
  <si>
    <t>Growth Price (inc VAT)</t>
  </si>
  <si>
    <t>Actual Margin % (if current price given)</t>
  </si>
  <si>
    <t>Profit per sale at Target (ex VAT)</t>
  </si>
  <si>
    <t>Underpriced vs Target?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</si>
</sst>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#,##0.0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i/>
      <sz val="1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49" fontId="0" fillId="2" borderId="0" xfId="0" applyNumberFormat="1" applyFill="1" applyProtection="1">
      <protection locked="0"/>
    </xf>
    <xf numFmtId="0" fontId="4" fillId="0" borderId="0" xfId="0" applyFont="1" applyAlignment="1">
      <alignment vertical="top" wrapText="1"/>
    </xf>
    <xf numFmtId="10" fontId="0" fillId="2" borderId="0" xfId="0" applyNumberFormat="1" applyFill="1" applyProtection="1">
      <protection locked="0"/>
    </xf>
    <xf numFmtId="0" fontId="5" fillId="3" borderId="0" xfId="0" applyFont="1" applyFill="1" applyAlignment="1">
      <alignment horizontal="center" vertical="center" wrapText="1"/>
    </xf>
    <xf numFmtId="0" fontId="0" fillId="2" borderId="0" xfId="0" applyFill="1" applyProtection="1">
      <protection locked="0"/>
    </xf>
    <xf numFmtId="164" fontId="0" fillId="2" borderId="0" xfId="0" applyNumberFormat="1" applyFill="1" applyProtection="1">
      <protection locked="0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/>
  </sheetViews>
  <sheetFormatPr defaultRowHeight="14.4" x14ac:dyDescent="0.3"/>
  <cols>
    <col min="1" max="1" width="95" customWidth="1"/>
  </cols>
  <sheetData>
    <row r="1" spans="1:1" ht="18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/>
    </row>
    <row r="6" spans="1:1" x14ac:dyDescent="0.3">
      <c r="A6" s="3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/>
    </row>
    <row r="11" spans="1:1" x14ac:dyDescent="0.3">
      <c r="A11" s="3" t="s">
        <v>7</v>
      </c>
    </row>
    <row r="12" spans="1:1" x14ac:dyDescent="0.3">
      <c r="A12" s="2" t="s">
        <v>8</v>
      </c>
    </row>
    <row r="13" spans="1:1" x14ac:dyDescent="0.3">
      <c r="A13" s="2" t="s">
        <v>9</v>
      </c>
    </row>
    <row r="14" spans="1:1" x14ac:dyDescent="0.3">
      <c r="A14" s="2" t="s">
        <v>10</v>
      </c>
    </row>
    <row r="15" spans="1:1" x14ac:dyDescent="0.3">
      <c r="A15" s="2"/>
    </row>
    <row r="16" spans="1:1" x14ac:dyDescent="0.3">
      <c r="A16" s="3" t="s">
        <v>11</v>
      </c>
    </row>
    <row r="17" spans="1:1" x14ac:dyDescent="0.3">
      <c r="A17" s="2" t="s">
        <v>12</v>
      </c>
    </row>
    <row r="18" spans="1:1" x14ac:dyDescent="0.3">
      <c r="A18" s="2" t="s">
        <v>13</v>
      </c>
    </row>
    <row r="19" spans="1:1" x14ac:dyDescent="0.3">
      <c r="A19" s="2" t="s">
        <v>14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4" x14ac:dyDescent="0.3"/>
  <cols>
    <col min="1" max="1" width="45" customWidth="1"/>
    <col min="2" max="2" width="18" customWidth="1"/>
    <col min="3" max="3" width="8" customWidth="1"/>
    <col min="4" max="4" width="70" customWidth="1"/>
  </cols>
  <sheetData>
    <row r="1" spans="1:4" ht="15.6" x14ac:dyDescent="0.3">
      <c r="A1" s="4" t="s">
        <v>15</v>
      </c>
    </row>
    <row r="3" spans="1:4" x14ac:dyDescent="0.3">
      <c r="A3" t="s">
        <v>16</v>
      </c>
      <c r="B3" s="5" t="s">
        <v>17</v>
      </c>
      <c r="C3" t="s">
        <v>18</v>
      </c>
      <c r="D3" s="6" t="s">
        <v>19</v>
      </c>
    </row>
    <row r="4" spans="1:4" x14ac:dyDescent="0.3">
      <c r="A4" t="s">
        <v>20</v>
      </c>
      <c r="B4" s="7">
        <v>0.2</v>
      </c>
      <c r="C4" t="s">
        <v>18</v>
      </c>
      <c r="D4" s="6" t="s">
        <v>21</v>
      </c>
    </row>
    <row r="5" spans="1:4" x14ac:dyDescent="0.3">
      <c r="A5" t="s">
        <v>22</v>
      </c>
      <c r="B5" s="7">
        <v>1.7999999999999999E-2</v>
      </c>
      <c r="C5" t="s">
        <v>18</v>
      </c>
      <c r="D5" s="6" t="s">
        <v>23</v>
      </c>
    </row>
    <row r="6" spans="1:4" x14ac:dyDescent="0.3">
      <c r="A6" t="s">
        <v>24</v>
      </c>
      <c r="B6" s="7">
        <v>0.45</v>
      </c>
      <c r="C6" t="s">
        <v>18</v>
      </c>
      <c r="D6" s="6" t="s">
        <v>25</v>
      </c>
    </row>
    <row r="7" spans="1:4" x14ac:dyDescent="0.3">
      <c r="A7" t="s">
        <v>26</v>
      </c>
      <c r="B7" s="7">
        <v>0.1</v>
      </c>
      <c r="C7" t="s">
        <v>18</v>
      </c>
      <c r="D7" s="6" t="s">
        <v>27</v>
      </c>
    </row>
  </sheetData>
  <sheetProtection sheet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3"/>
  <sheetViews>
    <sheetView tabSelected="1" workbookViewId="0">
      <pane ySplit="3" topLeftCell="A4" activePane="bottomLeft" state="frozen"/>
      <selection pane="bottomLeft" activeCell="A4" sqref="A4:C4"/>
    </sheetView>
  </sheetViews>
  <sheetFormatPr defaultRowHeight="14.4" x14ac:dyDescent="0.3"/>
  <cols>
    <col min="1" max="1" width="28" customWidth="1"/>
    <col min="2" max="11" width="22" customWidth="1"/>
  </cols>
  <sheetData>
    <row r="1" spans="1:11" ht="15.6" x14ac:dyDescent="0.3">
      <c r="A1" s="4" t="s">
        <v>28</v>
      </c>
    </row>
    <row r="3" spans="1:11" ht="36" customHeight="1" x14ac:dyDescent="0.3">
      <c r="A3" s="8" t="s">
        <v>29</v>
      </c>
      <c r="B3" s="8" t="s">
        <v>30</v>
      </c>
      <c r="C3" s="8" t="s">
        <v>31</v>
      </c>
      <c r="D3" s="8" t="s">
        <v>32</v>
      </c>
      <c r="E3" s="8" t="s">
        <v>33</v>
      </c>
      <c r="F3" s="8" t="s">
        <v>34</v>
      </c>
      <c r="G3" s="8" t="s">
        <v>35</v>
      </c>
      <c r="H3" s="8" t="s">
        <v>36</v>
      </c>
      <c r="I3" s="8" t="s">
        <v>37</v>
      </c>
      <c r="J3" s="8" t="s">
        <v>38</v>
      </c>
      <c r="K3" s="8" t="s">
        <v>39</v>
      </c>
    </row>
    <row r="4" spans="1:11" x14ac:dyDescent="0.3">
      <c r="A4" s="9"/>
      <c r="B4" s="10"/>
      <c r="C4" s="10"/>
      <c r="D4" s="11" t="str">
        <f>IF($B4&gt;0,$B4/(1-SETUP!$B$5),"")</f>
        <v/>
      </c>
      <c r="E4" s="11" t="str">
        <f>IF($B4&gt;0,IF((1-(SETUP!$B$6+SETUP!$B$5))&lt;=0,"Check setup",$B4/(1-(SETUP!$B$6+SETUP!$B$5))),"")</f>
        <v/>
      </c>
      <c r="F4" s="11" t="str">
        <f>IF($B4&gt;0,IF((1-(SETUP!$B$6+SETUP!$B$5+SETUP!$B$7))&lt;=0,"Check setup",IF(SETUP!$B$7=0,$E4,$B4/(1-(SETUP!$B$6+SETUP!$B$5+SETUP!$B$7)))),"")</f>
        <v/>
      </c>
      <c r="G4" s="11" t="str">
        <f>IF(LOWER(SETUP!$B$3)="yes",IF($E4="","",$E4*(1+SETUP!$B$4)),"")</f>
        <v/>
      </c>
      <c r="H4" s="11" t="str">
        <f>IF(LOWER(SETUP!$B$3)="yes",IF($F4="","",$F4*(1+SETUP!$B$4)),"")</f>
        <v/>
      </c>
      <c r="I4" s="12" t="str">
        <f>IF($C4&gt;0,($C4-$B4-($C4*SETUP!$B$5))/$C4,"")</f>
        <v/>
      </c>
      <c r="J4" s="11" t="e">
        <f>IF($E4&gt;0,$E4-$B4-($E4*SETUP!$B$5),"")</f>
        <v>#VALUE!</v>
      </c>
      <c r="K4" s="13" t="str">
        <f t="shared" ref="K4:K35" si="0">IF($C4&gt;0,IF($C4&lt;$E4,"YES","NO"),"")</f>
        <v/>
      </c>
    </row>
    <row r="5" spans="1:11" x14ac:dyDescent="0.3">
      <c r="A5" s="9"/>
      <c r="B5" s="10"/>
      <c r="C5" s="10"/>
      <c r="D5" s="11" t="str">
        <f>IF($B5&gt;0,$B5/(1-SETUP!$B$5),"")</f>
        <v/>
      </c>
      <c r="E5" s="11" t="str">
        <f>IF($B5&gt;0,IF((1-(SETUP!$B$6+SETUP!$B$5))&lt;=0,"Check setup",$B5/(1-(SETUP!$B$6+SETUP!$B$5))),"")</f>
        <v/>
      </c>
      <c r="F5" s="11" t="str">
        <f>IF($B5&gt;0,IF((1-(SETUP!$B$6+SETUP!$B$5+SETUP!$B$7))&lt;=0,"Check setup",IF(SETUP!$B$7=0,$E5,$B5/(1-(SETUP!$B$6+SETUP!$B$5+SETUP!$B$7)))),"")</f>
        <v/>
      </c>
      <c r="G5" s="11" t="str">
        <f>IF(LOWER(SETUP!$B$3)="yes",IF($E5="","",$E5*(1+SETUP!$B$4)),"")</f>
        <v/>
      </c>
      <c r="H5" s="11" t="str">
        <f>IF(LOWER(SETUP!$B$3)="yes",IF($F5="","",$F5*(1+SETUP!$B$4)),"")</f>
        <v/>
      </c>
      <c r="I5" s="12" t="str">
        <f>IF($C5&gt;0,($C5-$B5-($C5*SETUP!$B$5))/$C5,"")</f>
        <v/>
      </c>
      <c r="J5" s="11" t="e">
        <f>IF($E5&gt;0,$E5-$B5-($E5*SETUP!$B$5),"")</f>
        <v>#VALUE!</v>
      </c>
      <c r="K5" s="13" t="str">
        <f t="shared" si="0"/>
        <v/>
      </c>
    </row>
    <row r="6" spans="1:11" x14ac:dyDescent="0.3">
      <c r="A6" s="9"/>
      <c r="B6" s="10"/>
      <c r="C6" s="10"/>
      <c r="D6" s="11" t="str">
        <f>IF($B6&gt;0,$B6/(1-SETUP!$B$5),"")</f>
        <v/>
      </c>
      <c r="E6" s="11" t="str">
        <f>IF($B6&gt;0,IF((1-(SETUP!$B$6+SETUP!$B$5))&lt;=0,"Check setup",$B6/(1-(SETUP!$B$6+SETUP!$B$5))),"")</f>
        <v/>
      </c>
      <c r="F6" s="11" t="str">
        <f>IF($B6&gt;0,IF((1-(SETUP!$B$6+SETUP!$B$5+SETUP!$B$7))&lt;=0,"Check setup",IF(SETUP!$B$7=0,$E6,$B6/(1-(SETUP!$B$6+SETUP!$B$5+SETUP!$B$7)))),"")</f>
        <v/>
      </c>
      <c r="G6" s="11" t="str">
        <f>IF(LOWER(SETUP!$B$3)="yes",IF($E6="","",$E6*(1+SETUP!$B$4)),"")</f>
        <v/>
      </c>
      <c r="H6" s="11" t="str">
        <f>IF(LOWER(SETUP!$B$3)="yes",IF($F6="","",$F6*(1+SETUP!$B$4)),"")</f>
        <v/>
      </c>
      <c r="I6" s="12" t="str">
        <f>IF($C6&gt;0,($C6-$B6-($C6*SETUP!$B$5))/$C6,"")</f>
        <v/>
      </c>
      <c r="J6" s="11" t="e">
        <f>IF($E6&gt;0,$E6-$B6-($E6*SETUP!$B$5),"")</f>
        <v>#VALUE!</v>
      </c>
      <c r="K6" s="13" t="str">
        <f t="shared" si="0"/>
        <v/>
      </c>
    </row>
    <row r="7" spans="1:11" x14ac:dyDescent="0.3">
      <c r="A7" s="9"/>
      <c r="B7" s="10"/>
      <c r="C7" s="10"/>
      <c r="D7" s="11" t="str">
        <f>IF($B7&gt;0,$B7/(1-SETUP!$B$5),"")</f>
        <v/>
      </c>
      <c r="E7" s="11" t="str">
        <f>IF($B7&gt;0,IF((1-(SETUP!$B$6+SETUP!$B$5))&lt;=0,"Check setup",$B7/(1-(SETUP!$B$6+SETUP!$B$5))),"")</f>
        <v/>
      </c>
      <c r="F7" s="11" t="str">
        <f>IF($B7&gt;0,IF((1-(SETUP!$B$6+SETUP!$B$5+SETUP!$B$7))&lt;=0,"Check setup",IF(SETUP!$B$7=0,$E7,$B7/(1-(SETUP!$B$6+SETUP!$B$5+SETUP!$B$7)))),"")</f>
        <v/>
      </c>
      <c r="G7" s="11" t="str">
        <f>IF(LOWER(SETUP!$B$3)="yes",IF($E7="","",$E7*(1+SETUP!$B$4)),"")</f>
        <v/>
      </c>
      <c r="H7" s="11" t="str">
        <f>IF(LOWER(SETUP!$B$3)="yes",IF($F7="","",$F7*(1+SETUP!$B$4)),"")</f>
        <v/>
      </c>
      <c r="I7" s="12" t="str">
        <f>IF($C7&gt;0,($C7-$B7-($C7*SETUP!$B$5))/$C7,"")</f>
        <v/>
      </c>
      <c r="J7" s="11" t="e">
        <f>IF($E7&gt;0,$E7-$B7-($E7*SETUP!$B$5),"")</f>
        <v>#VALUE!</v>
      </c>
      <c r="K7" s="13" t="str">
        <f t="shared" si="0"/>
        <v/>
      </c>
    </row>
    <row r="8" spans="1:11" x14ac:dyDescent="0.3">
      <c r="A8" s="9"/>
      <c r="B8" s="10"/>
      <c r="C8" s="10"/>
      <c r="D8" s="11" t="str">
        <f>IF($B8&gt;0,$B8/(1-SETUP!$B$5),"")</f>
        <v/>
      </c>
      <c r="E8" s="11" t="str">
        <f>IF($B8&gt;0,IF((1-(SETUP!$B$6+SETUP!$B$5))&lt;=0,"Check setup",$B8/(1-(SETUP!$B$6+SETUP!$B$5))),"")</f>
        <v/>
      </c>
      <c r="F8" s="11" t="str">
        <f>IF($B8&gt;0,IF((1-(SETUP!$B$6+SETUP!$B$5+SETUP!$B$7))&lt;=0,"Check setup",IF(SETUP!$B$7=0,$E8,$B8/(1-(SETUP!$B$6+SETUP!$B$5+SETUP!$B$7)))),"")</f>
        <v/>
      </c>
      <c r="G8" s="11" t="str">
        <f>IF(LOWER(SETUP!$B$3)="yes",IF($E8="","",$E8*(1+SETUP!$B$4)),"")</f>
        <v/>
      </c>
      <c r="H8" s="11" t="str">
        <f>IF(LOWER(SETUP!$B$3)="yes",IF($F8="","",$F8*(1+SETUP!$B$4)),"")</f>
        <v/>
      </c>
      <c r="I8" s="12" t="str">
        <f>IF($C8&gt;0,($C8-$B8-($C8*SETUP!$B$5))/$C8,"")</f>
        <v/>
      </c>
      <c r="J8" s="11" t="e">
        <f>IF($E8&gt;0,$E8-$B8-($E8*SETUP!$B$5),"")</f>
        <v>#VALUE!</v>
      </c>
      <c r="K8" s="13" t="str">
        <f t="shared" si="0"/>
        <v/>
      </c>
    </row>
    <row r="9" spans="1:11" x14ac:dyDescent="0.3">
      <c r="A9" s="9"/>
      <c r="B9" s="10"/>
      <c r="C9" s="10"/>
      <c r="D9" s="11" t="str">
        <f>IF($B9&gt;0,$B9/(1-SETUP!$B$5),"")</f>
        <v/>
      </c>
      <c r="E9" s="11" t="str">
        <f>IF($B9&gt;0,IF((1-(SETUP!$B$6+SETUP!$B$5))&lt;=0,"Check setup",$B9/(1-(SETUP!$B$6+SETUP!$B$5))),"")</f>
        <v/>
      </c>
      <c r="F9" s="11" t="str">
        <f>IF($B9&gt;0,IF((1-(SETUP!$B$6+SETUP!$B$5+SETUP!$B$7))&lt;=0,"Check setup",IF(SETUP!$B$7=0,$E9,$B9/(1-(SETUP!$B$6+SETUP!$B$5+SETUP!$B$7)))),"")</f>
        <v/>
      </c>
      <c r="G9" s="11" t="str">
        <f>IF(LOWER(SETUP!$B$3)="yes",IF($E9="","",$E9*(1+SETUP!$B$4)),"")</f>
        <v/>
      </c>
      <c r="H9" s="11" t="str">
        <f>IF(LOWER(SETUP!$B$3)="yes",IF($F9="","",$F9*(1+SETUP!$B$4)),"")</f>
        <v/>
      </c>
      <c r="I9" s="12" t="str">
        <f>IF($C9&gt;0,($C9-$B9-($C9*SETUP!$B$5))/$C9,"")</f>
        <v/>
      </c>
      <c r="J9" s="11" t="e">
        <f>IF($E9&gt;0,$E9-$B9-($E9*SETUP!$B$5),"")</f>
        <v>#VALUE!</v>
      </c>
      <c r="K9" s="13" t="str">
        <f t="shared" si="0"/>
        <v/>
      </c>
    </row>
    <row r="10" spans="1:11" x14ac:dyDescent="0.3">
      <c r="A10" s="9"/>
      <c r="B10" s="10"/>
      <c r="C10" s="10"/>
      <c r="D10" s="11" t="str">
        <f>IF($B10&gt;0,$B10/(1-SETUP!$B$5),"")</f>
        <v/>
      </c>
      <c r="E10" s="11" t="str">
        <f>IF($B10&gt;0,IF((1-(SETUP!$B$6+SETUP!$B$5))&lt;=0,"Check setup",$B10/(1-(SETUP!$B$6+SETUP!$B$5))),"")</f>
        <v/>
      </c>
      <c r="F10" s="11" t="str">
        <f>IF($B10&gt;0,IF((1-(SETUP!$B$6+SETUP!$B$5+SETUP!$B$7))&lt;=0,"Check setup",IF(SETUP!$B$7=0,$E10,$B10/(1-(SETUP!$B$6+SETUP!$B$5+SETUP!$B$7)))),"")</f>
        <v/>
      </c>
      <c r="G10" s="11" t="str">
        <f>IF(LOWER(SETUP!$B$3)="yes",IF($E10="","",$E10*(1+SETUP!$B$4)),"")</f>
        <v/>
      </c>
      <c r="H10" s="11" t="str">
        <f>IF(LOWER(SETUP!$B$3)="yes",IF($F10="","",$F10*(1+SETUP!$B$4)),"")</f>
        <v/>
      </c>
      <c r="I10" s="12" t="str">
        <f>IF($C10&gt;0,($C10-$B10-($C10*SETUP!$B$5))/$C10,"")</f>
        <v/>
      </c>
      <c r="J10" s="11" t="e">
        <f>IF($E10&gt;0,$E10-$B10-($E10*SETUP!$B$5),"")</f>
        <v>#VALUE!</v>
      </c>
      <c r="K10" s="13" t="str">
        <f t="shared" si="0"/>
        <v/>
      </c>
    </row>
    <row r="11" spans="1:11" x14ac:dyDescent="0.3">
      <c r="A11" s="9"/>
      <c r="B11" s="10"/>
      <c r="C11" s="10"/>
      <c r="D11" s="11" t="str">
        <f>IF($B11&gt;0,$B11/(1-SETUP!$B$5),"")</f>
        <v/>
      </c>
      <c r="E11" s="11" t="str">
        <f>IF($B11&gt;0,IF((1-(SETUP!$B$6+SETUP!$B$5))&lt;=0,"Check setup",$B11/(1-(SETUP!$B$6+SETUP!$B$5))),"")</f>
        <v/>
      </c>
      <c r="F11" s="11" t="str">
        <f>IF($B11&gt;0,IF((1-(SETUP!$B$6+SETUP!$B$5+SETUP!$B$7))&lt;=0,"Check setup",IF(SETUP!$B$7=0,$E11,$B11/(1-(SETUP!$B$6+SETUP!$B$5+SETUP!$B$7)))),"")</f>
        <v/>
      </c>
      <c r="G11" s="11" t="str">
        <f>IF(LOWER(SETUP!$B$3)="yes",IF($E11="","",$E11*(1+SETUP!$B$4)),"")</f>
        <v/>
      </c>
      <c r="H11" s="11" t="str">
        <f>IF(LOWER(SETUP!$B$3)="yes",IF($F11="","",$F11*(1+SETUP!$B$4)),"")</f>
        <v/>
      </c>
      <c r="I11" s="12" t="str">
        <f>IF($C11&gt;0,($C11-$B11-($C11*SETUP!$B$5))/$C11,"")</f>
        <v/>
      </c>
      <c r="J11" s="11" t="e">
        <f>IF($E11&gt;0,$E11-$B11-($E11*SETUP!$B$5),"")</f>
        <v>#VALUE!</v>
      </c>
      <c r="K11" s="13" t="str">
        <f t="shared" si="0"/>
        <v/>
      </c>
    </row>
    <row r="12" spans="1:11" x14ac:dyDescent="0.3">
      <c r="A12" s="9"/>
      <c r="B12" s="10"/>
      <c r="C12" s="10"/>
      <c r="D12" s="11" t="str">
        <f>IF($B12&gt;0,$B12/(1-SETUP!$B$5),"")</f>
        <v/>
      </c>
      <c r="E12" s="11" t="str">
        <f>IF($B12&gt;0,IF((1-(SETUP!$B$6+SETUP!$B$5))&lt;=0,"Check setup",$B12/(1-(SETUP!$B$6+SETUP!$B$5))),"")</f>
        <v/>
      </c>
      <c r="F12" s="11" t="str">
        <f>IF($B12&gt;0,IF((1-(SETUP!$B$6+SETUP!$B$5+SETUP!$B$7))&lt;=0,"Check setup",IF(SETUP!$B$7=0,$E12,$B12/(1-(SETUP!$B$6+SETUP!$B$5+SETUP!$B$7)))),"")</f>
        <v/>
      </c>
      <c r="G12" s="11" t="str">
        <f>IF(LOWER(SETUP!$B$3)="yes",IF($E12="","",$E12*(1+SETUP!$B$4)),"")</f>
        <v/>
      </c>
      <c r="H12" s="11" t="str">
        <f>IF(LOWER(SETUP!$B$3)="yes",IF($F12="","",$F12*(1+SETUP!$B$4)),"")</f>
        <v/>
      </c>
      <c r="I12" s="12" t="str">
        <f>IF($C12&gt;0,($C12-$B12-($C12*SETUP!$B$5))/$C12,"")</f>
        <v/>
      </c>
      <c r="J12" s="11" t="e">
        <f>IF($E12&gt;0,$E12-$B12-($E12*SETUP!$B$5),"")</f>
        <v>#VALUE!</v>
      </c>
      <c r="K12" s="13" t="str">
        <f t="shared" si="0"/>
        <v/>
      </c>
    </row>
    <row r="13" spans="1:11" x14ac:dyDescent="0.3">
      <c r="A13" s="9"/>
      <c r="B13" s="10"/>
      <c r="C13" s="10"/>
      <c r="D13" s="11" t="str">
        <f>IF($B13&gt;0,$B13/(1-SETUP!$B$5),"")</f>
        <v/>
      </c>
      <c r="E13" s="11" t="str">
        <f>IF($B13&gt;0,IF((1-(SETUP!$B$6+SETUP!$B$5))&lt;=0,"Check setup",$B13/(1-(SETUP!$B$6+SETUP!$B$5))),"")</f>
        <v/>
      </c>
      <c r="F13" s="11" t="str">
        <f>IF($B13&gt;0,IF((1-(SETUP!$B$6+SETUP!$B$5+SETUP!$B$7))&lt;=0,"Check setup",IF(SETUP!$B$7=0,$E13,$B13/(1-(SETUP!$B$6+SETUP!$B$5+SETUP!$B$7)))),"")</f>
        <v/>
      </c>
      <c r="G13" s="11" t="str">
        <f>IF(LOWER(SETUP!$B$3)="yes",IF($E13="","",$E13*(1+SETUP!$B$4)),"")</f>
        <v/>
      </c>
      <c r="H13" s="11" t="str">
        <f>IF(LOWER(SETUP!$B$3)="yes",IF($F13="","",$F13*(1+SETUP!$B$4)),"")</f>
        <v/>
      </c>
      <c r="I13" s="12" t="str">
        <f>IF($C13&gt;0,($C13-$B13-($C13*SETUP!$B$5))/$C13,"")</f>
        <v/>
      </c>
      <c r="J13" s="11" t="e">
        <f>IF($E13&gt;0,$E13-$B13-($E13*SETUP!$B$5),"")</f>
        <v>#VALUE!</v>
      </c>
      <c r="K13" s="13" t="str">
        <f t="shared" si="0"/>
        <v/>
      </c>
    </row>
    <row r="14" spans="1:11" x14ac:dyDescent="0.3">
      <c r="A14" s="9"/>
      <c r="B14" s="10"/>
      <c r="C14" s="10"/>
      <c r="D14" s="11" t="str">
        <f>IF($B14&gt;0,$B14/(1-SETUP!$B$5),"")</f>
        <v/>
      </c>
      <c r="E14" s="11" t="str">
        <f>IF($B14&gt;0,IF((1-(SETUP!$B$6+SETUP!$B$5))&lt;=0,"Check setup",$B14/(1-(SETUP!$B$6+SETUP!$B$5))),"")</f>
        <v/>
      </c>
      <c r="F14" s="11" t="str">
        <f>IF($B14&gt;0,IF((1-(SETUP!$B$6+SETUP!$B$5+SETUP!$B$7))&lt;=0,"Check setup",IF(SETUP!$B$7=0,$E14,$B14/(1-(SETUP!$B$6+SETUP!$B$5+SETUP!$B$7)))),"")</f>
        <v/>
      </c>
      <c r="G14" s="11" t="str">
        <f>IF(LOWER(SETUP!$B$3)="yes",IF($E14="","",$E14*(1+SETUP!$B$4)),"")</f>
        <v/>
      </c>
      <c r="H14" s="11" t="str">
        <f>IF(LOWER(SETUP!$B$3)="yes",IF($F14="","",$F14*(1+SETUP!$B$4)),"")</f>
        <v/>
      </c>
      <c r="I14" s="12" t="str">
        <f>IF($C14&gt;0,($C14-$B14-($C14*SETUP!$B$5))/$C14,"")</f>
        <v/>
      </c>
      <c r="J14" s="11" t="e">
        <f>IF($E14&gt;0,$E14-$B14-($E14*SETUP!$B$5),"")</f>
        <v>#VALUE!</v>
      </c>
      <c r="K14" s="13" t="str">
        <f t="shared" si="0"/>
        <v/>
      </c>
    </row>
    <row r="15" spans="1:11" x14ac:dyDescent="0.3">
      <c r="A15" s="9"/>
      <c r="B15" s="10"/>
      <c r="C15" s="10"/>
      <c r="D15" s="11" t="str">
        <f>IF($B15&gt;0,$B15/(1-SETUP!$B$5),"")</f>
        <v/>
      </c>
      <c r="E15" s="11" t="str">
        <f>IF($B15&gt;0,IF((1-(SETUP!$B$6+SETUP!$B$5))&lt;=0,"Check setup",$B15/(1-(SETUP!$B$6+SETUP!$B$5))),"")</f>
        <v/>
      </c>
      <c r="F15" s="11" t="str">
        <f>IF($B15&gt;0,IF((1-(SETUP!$B$6+SETUP!$B$5+SETUP!$B$7))&lt;=0,"Check setup",IF(SETUP!$B$7=0,$E15,$B15/(1-(SETUP!$B$6+SETUP!$B$5+SETUP!$B$7)))),"")</f>
        <v/>
      </c>
      <c r="G15" s="11" t="str">
        <f>IF(LOWER(SETUP!$B$3)="yes",IF($E15="","",$E15*(1+SETUP!$B$4)),"")</f>
        <v/>
      </c>
      <c r="H15" s="11" t="str">
        <f>IF(LOWER(SETUP!$B$3)="yes",IF($F15="","",$F15*(1+SETUP!$B$4)),"")</f>
        <v/>
      </c>
      <c r="I15" s="12" t="str">
        <f>IF($C15&gt;0,($C15-$B15-($C15*SETUP!$B$5))/$C15,"")</f>
        <v/>
      </c>
      <c r="J15" s="11" t="e">
        <f>IF($E15&gt;0,$E15-$B15-($E15*SETUP!$B$5),"")</f>
        <v>#VALUE!</v>
      </c>
      <c r="K15" s="13" t="str">
        <f t="shared" si="0"/>
        <v/>
      </c>
    </row>
    <row r="16" spans="1:11" x14ac:dyDescent="0.3">
      <c r="A16" s="9"/>
      <c r="B16" s="10"/>
      <c r="C16" s="10"/>
      <c r="D16" s="11" t="str">
        <f>IF($B16&gt;0,$B16/(1-SETUP!$B$5),"")</f>
        <v/>
      </c>
      <c r="E16" s="11" t="str">
        <f>IF($B16&gt;0,IF((1-(SETUP!$B$6+SETUP!$B$5))&lt;=0,"Check setup",$B16/(1-(SETUP!$B$6+SETUP!$B$5))),"")</f>
        <v/>
      </c>
      <c r="F16" s="11" t="str">
        <f>IF($B16&gt;0,IF((1-(SETUP!$B$6+SETUP!$B$5+SETUP!$B$7))&lt;=0,"Check setup",IF(SETUP!$B$7=0,$E16,$B16/(1-(SETUP!$B$6+SETUP!$B$5+SETUP!$B$7)))),"")</f>
        <v/>
      </c>
      <c r="G16" s="11" t="str">
        <f>IF(LOWER(SETUP!$B$3)="yes",IF($E16="","",$E16*(1+SETUP!$B$4)),"")</f>
        <v/>
      </c>
      <c r="H16" s="11" t="str">
        <f>IF(LOWER(SETUP!$B$3)="yes",IF($F16="","",$F16*(1+SETUP!$B$4)),"")</f>
        <v/>
      </c>
      <c r="I16" s="12" t="str">
        <f>IF($C16&gt;0,($C16-$B16-($C16*SETUP!$B$5))/$C16,"")</f>
        <v/>
      </c>
      <c r="J16" s="11" t="e">
        <f>IF($E16&gt;0,$E16-$B16-($E16*SETUP!$B$5),"")</f>
        <v>#VALUE!</v>
      </c>
      <c r="K16" s="13" t="str">
        <f t="shared" si="0"/>
        <v/>
      </c>
    </row>
    <row r="17" spans="1:11" x14ac:dyDescent="0.3">
      <c r="A17" s="9"/>
      <c r="B17" s="10"/>
      <c r="C17" s="10"/>
      <c r="D17" s="11" t="str">
        <f>IF($B17&gt;0,$B17/(1-SETUP!$B$5),"")</f>
        <v/>
      </c>
      <c r="E17" s="11" t="str">
        <f>IF($B17&gt;0,IF((1-(SETUP!$B$6+SETUP!$B$5))&lt;=0,"Check setup",$B17/(1-(SETUP!$B$6+SETUP!$B$5))),"")</f>
        <v/>
      </c>
      <c r="F17" s="11" t="str">
        <f>IF($B17&gt;0,IF((1-(SETUP!$B$6+SETUP!$B$5+SETUP!$B$7))&lt;=0,"Check setup",IF(SETUP!$B$7=0,$E17,$B17/(1-(SETUP!$B$6+SETUP!$B$5+SETUP!$B$7)))),"")</f>
        <v/>
      </c>
      <c r="G17" s="11" t="str">
        <f>IF(LOWER(SETUP!$B$3)="yes",IF($E17="","",$E17*(1+SETUP!$B$4)),"")</f>
        <v/>
      </c>
      <c r="H17" s="11" t="str">
        <f>IF(LOWER(SETUP!$B$3)="yes",IF($F17="","",$F17*(1+SETUP!$B$4)),"")</f>
        <v/>
      </c>
      <c r="I17" s="12" t="str">
        <f>IF($C17&gt;0,($C17-$B17-($C17*SETUP!$B$5))/$C17,"")</f>
        <v/>
      </c>
      <c r="J17" s="11" t="e">
        <f>IF($E17&gt;0,$E17-$B17-($E17*SETUP!$B$5),"")</f>
        <v>#VALUE!</v>
      </c>
      <c r="K17" s="13" t="str">
        <f t="shared" si="0"/>
        <v/>
      </c>
    </row>
    <row r="18" spans="1:11" x14ac:dyDescent="0.3">
      <c r="A18" s="9"/>
      <c r="B18" s="10"/>
      <c r="C18" s="10"/>
      <c r="D18" s="11" t="str">
        <f>IF($B18&gt;0,$B18/(1-SETUP!$B$5),"")</f>
        <v/>
      </c>
      <c r="E18" s="11" t="str">
        <f>IF($B18&gt;0,IF((1-(SETUP!$B$6+SETUP!$B$5))&lt;=0,"Check setup",$B18/(1-(SETUP!$B$6+SETUP!$B$5))),"")</f>
        <v/>
      </c>
      <c r="F18" s="11" t="str">
        <f>IF($B18&gt;0,IF((1-(SETUP!$B$6+SETUP!$B$5+SETUP!$B$7))&lt;=0,"Check setup",IF(SETUP!$B$7=0,$E18,$B18/(1-(SETUP!$B$6+SETUP!$B$5+SETUP!$B$7)))),"")</f>
        <v/>
      </c>
      <c r="G18" s="11" t="str">
        <f>IF(LOWER(SETUP!$B$3)="yes",IF($E18="","",$E18*(1+SETUP!$B$4)),"")</f>
        <v/>
      </c>
      <c r="H18" s="11" t="str">
        <f>IF(LOWER(SETUP!$B$3)="yes",IF($F18="","",$F18*(1+SETUP!$B$4)),"")</f>
        <v/>
      </c>
      <c r="I18" s="12" t="str">
        <f>IF($C18&gt;0,($C18-$B18-($C18*SETUP!$B$5))/$C18,"")</f>
        <v/>
      </c>
      <c r="J18" s="11" t="e">
        <f>IF($E18&gt;0,$E18-$B18-($E18*SETUP!$B$5),"")</f>
        <v>#VALUE!</v>
      </c>
      <c r="K18" s="13" t="str">
        <f t="shared" si="0"/>
        <v/>
      </c>
    </row>
    <row r="19" spans="1:11" x14ac:dyDescent="0.3">
      <c r="A19" s="9"/>
      <c r="B19" s="10"/>
      <c r="C19" s="10"/>
      <c r="D19" s="11" t="str">
        <f>IF($B19&gt;0,$B19/(1-SETUP!$B$5),"")</f>
        <v/>
      </c>
      <c r="E19" s="11" t="str">
        <f>IF($B19&gt;0,IF((1-(SETUP!$B$6+SETUP!$B$5))&lt;=0,"Check setup",$B19/(1-(SETUP!$B$6+SETUP!$B$5))),"")</f>
        <v/>
      </c>
      <c r="F19" s="11" t="str">
        <f>IF($B19&gt;0,IF((1-(SETUP!$B$6+SETUP!$B$5+SETUP!$B$7))&lt;=0,"Check setup",IF(SETUP!$B$7=0,$E19,$B19/(1-(SETUP!$B$6+SETUP!$B$5+SETUP!$B$7)))),"")</f>
        <v/>
      </c>
      <c r="G19" s="11" t="str">
        <f>IF(LOWER(SETUP!$B$3)="yes",IF($E19="","",$E19*(1+SETUP!$B$4)),"")</f>
        <v/>
      </c>
      <c r="H19" s="11" t="str">
        <f>IF(LOWER(SETUP!$B$3)="yes",IF($F19="","",$F19*(1+SETUP!$B$4)),"")</f>
        <v/>
      </c>
      <c r="I19" s="12" t="str">
        <f>IF($C19&gt;0,($C19-$B19-($C19*SETUP!$B$5))/$C19,"")</f>
        <v/>
      </c>
      <c r="J19" s="11" t="e">
        <f>IF($E19&gt;0,$E19-$B19-($E19*SETUP!$B$5),"")</f>
        <v>#VALUE!</v>
      </c>
      <c r="K19" s="13" t="str">
        <f t="shared" si="0"/>
        <v/>
      </c>
    </row>
    <row r="20" spans="1:11" x14ac:dyDescent="0.3">
      <c r="A20" s="9"/>
      <c r="B20" s="10"/>
      <c r="C20" s="10"/>
      <c r="D20" s="11" t="str">
        <f>IF($B20&gt;0,$B20/(1-SETUP!$B$5),"")</f>
        <v/>
      </c>
      <c r="E20" s="11" t="str">
        <f>IF($B20&gt;0,IF((1-(SETUP!$B$6+SETUP!$B$5))&lt;=0,"Check setup",$B20/(1-(SETUP!$B$6+SETUP!$B$5))),"")</f>
        <v/>
      </c>
      <c r="F20" s="11" t="str">
        <f>IF($B20&gt;0,IF((1-(SETUP!$B$6+SETUP!$B$5+SETUP!$B$7))&lt;=0,"Check setup",IF(SETUP!$B$7=0,$E20,$B20/(1-(SETUP!$B$6+SETUP!$B$5+SETUP!$B$7)))),"")</f>
        <v/>
      </c>
      <c r="G20" s="11" t="str">
        <f>IF(LOWER(SETUP!$B$3)="yes",IF($E20="","",$E20*(1+SETUP!$B$4)),"")</f>
        <v/>
      </c>
      <c r="H20" s="11" t="str">
        <f>IF(LOWER(SETUP!$B$3)="yes",IF($F20="","",$F20*(1+SETUP!$B$4)),"")</f>
        <v/>
      </c>
      <c r="I20" s="12" t="str">
        <f>IF($C20&gt;0,($C20-$B20-($C20*SETUP!$B$5))/$C20,"")</f>
        <v/>
      </c>
      <c r="J20" s="11" t="e">
        <f>IF($E20&gt;0,$E20-$B20-($E20*SETUP!$B$5),"")</f>
        <v>#VALUE!</v>
      </c>
      <c r="K20" s="13" t="str">
        <f t="shared" si="0"/>
        <v/>
      </c>
    </row>
    <row r="21" spans="1:11" x14ac:dyDescent="0.3">
      <c r="A21" s="9"/>
      <c r="B21" s="10"/>
      <c r="C21" s="10"/>
      <c r="D21" s="11" t="str">
        <f>IF($B21&gt;0,$B21/(1-SETUP!$B$5),"")</f>
        <v/>
      </c>
      <c r="E21" s="11" t="str">
        <f>IF($B21&gt;0,IF((1-(SETUP!$B$6+SETUP!$B$5))&lt;=0,"Check setup",$B21/(1-(SETUP!$B$6+SETUP!$B$5))),"")</f>
        <v/>
      </c>
      <c r="F21" s="11" t="str">
        <f>IF($B21&gt;0,IF((1-(SETUP!$B$6+SETUP!$B$5+SETUP!$B$7))&lt;=0,"Check setup",IF(SETUP!$B$7=0,$E21,$B21/(1-(SETUP!$B$6+SETUP!$B$5+SETUP!$B$7)))),"")</f>
        <v/>
      </c>
      <c r="G21" s="11" t="str">
        <f>IF(LOWER(SETUP!$B$3)="yes",IF($E21="","",$E21*(1+SETUP!$B$4)),"")</f>
        <v/>
      </c>
      <c r="H21" s="11" t="str">
        <f>IF(LOWER(SETUP!$B$3)="yes",IF($F21="","",$F21*(1+SETUP!$B$4)),"")</f>
        <v/>
      </c>
      <c r="I21" s="12" t="str">
        <f>IF($C21&gt;0,($C21-$B21-($C21*SETUP!$B$5))/$C21,"")</f>
        <v/>
      </c>
      <c r="J21" s="11" t="e">
        <f>IF($E21&gt;0,$E21-$B21-($E21*SETUP!$B$5),"")</f>
        <v>#VALUE!</v>
      </c>
      <c r="K21" s="13" t="str">
        <f t="shared" si="0"/>
        <v/>
      </c>
    </row>
    <row r="22" spans="1:11" x14ac:dyDescent="0.3">
      <c r="A22" s="9"/>
      <c r="B22" s="10"/>
      <c r="C22" s="10"/>
      <c r="D22" s="11" t="str">
        <f>IF($B22&gt;0,$B22/(1-SETUP!$B$5),"")</f>
        <v/>
      </c>
      <c r="E22" s="11" t="str">
        <f>IF($B22&gt;0,IF((1-(SETUP!$B$6+SETUP!$B$5))&lt;=0,"Check setup",$B22/(1-(SETUP!$B$6+SETUP!$B$5))),"")</f>
        <v/>
      </c>
      <c r="F22" s="11" t="str">
        <f>IF($B22&gt;0,IF((1-(SETUP!$B$6+SETUP!$B$5+SETUP!$B$7))&lt;=0,"Check setup",IF(SETUP!$B$7=0,$E22,$B22/(1-(SETUP!$B$6+SETUP!$B$5+SETUP!$B$7)))),"")</f>
        <v/>
      </c>
      <c r="G22" s="11" t="str">
        <f>IF(LOWER(SETUP!$B$3)="yes",IF($E22="","",$E22*(1+SETUP!$B$4)),"")</f>
        <v/>
      </c>
      <c r="H22" s="11" t="str">
        <f>IF(LOWER(SETUP!$B$3)="yes",IF($F22="","",$F22*(1+SETUP!$B$4)),"")</f>
        <v/>
      </c>
      <c r="I22" s="12" t="str">
        <f>IF($C22&gt;0,($C22-$B22-($C22*SETUP!$B$5))/$C22,"")</f>
        <v/>
      </c>
      <c r="J22" s="11" t="e">
        <f>IF($E22&gt;0,$E22-$B22-($E22*SETUP!$B$5),"")</f>
        <v>#VALUE!</v>
      </c>
      <c r="K22" s="13" t="str">
        <f t="shared" si="0"/>
        <v/>
      </c>
    </row>
    <row r="23" spans="1:11" x14ac:dyDescent="0.3">
      <c r="A23" s="9"/>
      <c r="B23" s="10"/>
      <c r="C23" s="10"/>
      <c r="D23" s="11" t="str">
        <f>IF($B23&gt;0,$B23/(1-SETUP!$B$5),"")</f>
        <v/>
      </c>
      <c r="E23" s="11" t="str">
        <f>IF($B23&gt;0,IF((1-(SETUP!$B$6+SETUP!$B$5))&lt;=0,"Check setup",$B23/(1-(SETUP!$B$6+SETUP!$B$5))),"")</f>
        <v/>
      </c>
      <c r="F23" s="11" t="str">
        <f>IF($B23&gt;0,IF((1-(SETUP!$B$6+SETUP!$B$5+SETUP!$B$7))&lt;=0,"Check setup",IF(SETUP!$B$7=0,$E23,$B23/(1-(SETUP!$B$6+SETUP!$B$5+SETUP!$B$7)))),"")</f>
        <v/>
      </c>
      <c r="G23" s="11" t="str">
        <f>IF(LOWER(SETUP!$B$3)="yes",IF($E23="","",$E23*(1+SETUP!$B$4)),"")</f>
        <v/>
      </c>
      <c r="H23" s="11" t="str">
        <f>IF(LOWER(SETUP!$B$3)="yes",IF($F23="","",$F23*(1+SETUP!$B$4)),"")</f>
        <v/>
      </c>
      <c r="I23" s="12" t="str">
        <f>IF($C23&gt;0,($C23-$B23-($C23*SETUP!$B$5))/$C23,"")</f>
        <v/>
      </c>
      <c r="J23" s="11" t="e">
        <f>IF($E23&gt;0,$E23-$B23-($E23*SETUP!$B$5),"")</f>
        <v>#VALUE!</v>
      </c>
      <c r="K23" s="13" t="str">
        <f t="shared" si="0"/>
        <v/>
      </c>
    </row>
    <row r="24" spans="1:11" x14ac:dyDescent="0.3">
      <c r="A24" s="9"/>
      <c r="B24" s="10"/>
      <c r="C24" s="10"/>
      <c r="D24" s="11" t="str">
        <f>IF($B24&gt;0,$B24/(1-SETUP!$B$5),"")</f>
        <v/>
      </c>
      <c r="E24" s="11" t="str">
        <f>IF($B24&gt;0,IF((1-(SETUP!$B$6+SETUP!$B$5))&lt;=0,"Check setup",$B24/(1-(SETUP!$B$6+SETUP!$B$5))),"")</f>
        <v/>
      </c>
      <c r="F24" s="11" t="str">
        <f>IF($B24&gt;0,IF((1-(SETUP!$B$6+SETUP!$B$5+SETUP!$B$7))&lt;=0,"Check setup",IF(SETUP!$B$7=0,$E24,$B24/(1-(SETUP!$B$6+SETUP!$B$5+SETUP!$B$7)))),"")</f>
        <v/>
      </c>
      <c r="G24" s="11" t="str">
        <f>IF(LOWER(SETUP!$B$3)="yes",IF($E24="","",$E24*(1+SETUP!$B$4)),"")</f>
        <v/>
      </c>
      <c r="H24" s="11" t="str">
        <f>IF(LOWER(SETUP!$B$3)="yes",IF($F24="","",$F24*(1+SETUP!$B$4)),"")</f>
        <v/>
      </c>
      <c r="I24" s="12" t="str">
        <f>IF($C24&gt;0,($C24-$B24-($C24*SETUP!$B$5))/$C24,"")</f>
        <v/>
      </c>
      <c r="J24" s="11" t="e">
        <f>IF($E24&gt;0,$E24-$B24-($E24*SETUP!$B$5),"")</f>
        <v>#VALUE!</v>
      </c>
      <c r="K24" s="13" t="str">
        <f t="shared" si="0"/>
        <v/>
      </c>
    </row>
    <row r="25" spans="1:11" x14ac:dyDescent="0.3">
      <c r="A25" s="9"/>
      <c r="B25" s="10"/>
      <c r="C25" s="10"/>
      <c r="D25" s="11" t="str">
        <f>IF($B25&gt;0,$B25/(1-SETUP!$B$5),"")</f>
        <v/>
      </c>
      <c r="E25" s="11" t="str">
        <f>IF($B25&gt;0,IF((1-(SETUP!$B$6+SETUP!$B$5))&lt;=0,"Check setup",$B25/(1-(SETUP!$B$6+SETUP!$B$5))),"")</f>
        <v/>
      </c>
      <c r="F25" s="11" t="str">
        <f>IF($B25&gt;0,IF((1-(SETUP!$B$6+SETUP!$B$5+SETUP!$B$7))&lt;=0,"Check setup",IF(SETUP!$B$7=0,$E25,$B25/(1-(SETUP!$B$6+SETUP!$B$5+SETUP!$B$7)))),"")</f>
        <v/>
      </c>
      <c r="G25" s="11" t="str">
        <f>IF(LOWER(SETUP!$B$3)="yes",IF($E25="","",$E25*(1+SETUP!$B$4)),"")</f>
        <v/>
      </c>
      <c r="H25" s="11" t="str">
        <f>IF(LOWER(SETUP!$B$3)="yes",IF($F25="","",$F25*(1+SETUP!$B$4)),"")</f>
        <v/>
      </c>
      <c r="I25" s="12" t="str">
        <f>IF($C25&gt;0,($C25-$B25-($C25*SETUP!$B$5))/$C25,"")</f>
        <v/>
      </c>
      <c r="J25" s="11" t="e">
        <f>IF($E25&gt;0,$E25-$B25-($E25*SETUP!$B$5),"")</f>
        <v>#VALUE!</v>
      </c>
      <c r="K25" s="13" t="str">
        <f t="shared" si="0"/>
        <v/>
      </c>
    </row>
    <row r="26" spans="1:11" x14ac:dyDescent="0.3">
      <c r="A26" s="9"/>
      <c r="B26" s="10"/>
      <c r="C26" s="10"/>
      <c r="D26" s="11" t="str">
        <f>IF($B26&gt;0,$B26/(1-SETUP!$B$5),"")</f>
        <v/>
      </c>
      <c r="E26" s="11" t="str">
        <f>IF($B26&gt;0,IF((1-(SETUP!$B$6+SETUP!$B$5))&lt;=0,"Check setup",$B26/(1-(SETUP!$B$6+SETUP!$B$5))),"")</f>
        <v/>
      </c>
      <c r="F26" s="11" t="str">
        <f>IF($B26&gt;0,IF((1-(SETUP!$B$6+SETUP!$B$5+SETUP!$B$7))&lt;=0,"Check setup",IF(SETUP!$B$7=0,$E26,$B26/(1-(SETUP!$B$6+SETUP!$B$5+SETUP!$B$7)))),"")</f>
        <v/>
      </c>
      <c r="G26" s="11" t="str">
        <f>IF(LOWER(SETUP!$B$3)="yes",IF($E26="","",$E26*(1+SETUP!$B$4)),"")</f>
        <v/>
      </c>
      <c r="H26" s="11" t="str">
        <f>IF(LOWER(SETUP!$B$3)="yes",IF($F26="","",$F26*(1+SETUP!$B$4)),"")</f>
        <v/>
      </c>
      <c r="I26" s="12" t="str">
        <f>IF($C26&gt;0,($C26-$B26-($C26*SETUP!$B$5))/$C26,"")</f>
        <v/>
      </c>
      <c r="J26" s="11" t="e">
        <f>IF($E26&gt;0,$E26-$B26-($E26*SETUP!$B$5),"")</f>
        <v>#VALUE!</v>
      </c>
      <c r="K26" s="13" t="str">
        <f t="shared" si="0"/>
        <v/>
      </c>
    </row>
    <row r="27" spans="1:11" x14ac:dyDescent="0.3">
      <c r="A27" s="9"/>
      <c r="B27" s="10"/>
      <c r="C27" s="10"/>
      <c r="D27" s="11" t="str">
        <f>IF($B27&gt;0,$B27/(1-SETUP!$B$5),"")</f>
        <v/>
      </c>
      <c r="E27" s="11" t="str">
        <f>IF($B27&gt;0,IF((1-(SETUP!$B$6+SETUP!$B$5))&lt;=0,"Check setup",$B27/(1-(SETUP!$B$6+SETUP!$B$5))),"")</f>
        <v/>
      </c>
      <c r="F27" s="11" t="str">
        <f>IF($B27&gt;0,IF((1-(SETUP!$B$6+SETUP!$B$5+SETUP!$B$7))&lt;=0,"Check setup",IF(SETUP!$B$7=0,$E27,$B27/(1-(SETUP!$B$6+SETUP!$B$5+SETUP!$B$7)))),"")</f>
        <v/>
      </c>
      <c r="G27" s="11" t="str">
        <f>IF(LOWER(SETUP!$B$3)="yes",IF($E27="","",$E27*(1+SETUP!$B$4)),"")</f>
        <v/>
      </c>
      <c r="H27" s="11" t="str">
        <f>IF(LOWER(SETUP!$B$3)="yes",IF($F27="","",$F27*(1+SETUP!$B$4)),"")</f>
        <v/>
      </c>
      <c r="I27" s="12" t="str">
        <f>IF($C27&gt;0,($C27-$B27-($C27*SETUP!$B$5))/$C27,"")</f>
        <v/>
      </c>
      <c r="J27" s="11" t="e">
        <f>IF($E27&gt;0,$E27-$B27-($E27*SETUP!$B$5),"")</f>
        <v>#VALUE!</v>
      </c>
      <c r="K27" s="13" t="str">
        <f t="shared" si="0"/>
        <v/>
      </c>
    </row>
    <row r="28" spans="1:11" x14ac:dyDescent="0.3">
      <c r="A28" s="9"/>
      <c r="B28" s="10"/>
      <c r="C28" s="10"/>
      <c r="D28" s="11" t="str">
        <f>IF($B28&gt;0,$B28/(1-SETUP!$B$5),"")</f>
        <v/>
      </c>
      <c r="E28" s="11" t="str">
        <f>IF($B28&gt;0,IF((1-(SETUP!$B$6+SETUP!$B$5))&lt;=0,"Check setup",$B28/(1-(SETUP!$B$6+SETUP!$B$5))),"")</f>
        <v/>
      </c>
      <c r="F28" s="11" t="str">
        <f>IF($B28&gt;0,IF((1-(SETUP!$B$6+SETUP!$B$5+SETUP!$B$7))&lt;=0,"Check setup",IF(SETUP!$B$7=0,$E28,$B28/(1-(SETUP!$B$6+SETUP!$B$5+SETUP!$B$7)))),"")</f>
        <v/>
      </c>
      <c r="G28" s="11" t="str">
        <f>IF(LOWER(SETUP!$B$3)="yes",IF($E28="","",$E28*(1+SETUP!$B$4)),"")</f>
        <v/>
      </c>
      <c r="H28" s="11" t="str">
        <f>IF(LOWER(SETUP!$B$3)="yes",IF($F28="","",$F28*(1+SETUP!$B$4)),"")</f>
        <v/>
      </c>
      <c r="I28" s="12" t="str">
        <f>IF($C28&gt;0,($C28-$B28-($C28*SETUP!$B$5))/$C28,"")</f>
        <v/>
      </c>
      <c r="J28" s="11" t="e">
        <f>IF($E28&gt;0,$E28-$B28-($E28*SETUP!$B$5),"")</f>
        <v>#VALUE!</v>
      </c>
      <c r="K28" s="13" t="str">
        <f t="shared" si="0"/>
        <v/>
      </c>
    </row>
    <row r="29" spans="1:11" x14ac:dyDescent="0.3">
      <c r="A29" s="9"/>
      <c r="B29" s="10"/>
      <c r="C29" s="10"/>
      <c r="D29" s="11" t="str">
        <f>IF($B29&gt;0,$B29/(1-SETUP!$B$5),"")</f>
        <v/>
      </c>
      <c r="E29" s="11" t="str">
        <f>IF($B29&gt;0,IF((1-(SETUP!$B$6+SETUP!$B$5))&lt;=0,"Check setup",$B29/(1-(SETUP!$B$6+SETUP!$B$5))),"")</f>
        <v/>
      </c>
      <c r="F29" s="11" t="str">
        <f>IF($B29&gt;0,IF((1-(SETUP!$B$6+SETUP!$B$5+SETUP!$B$7))&lt;=0,"Check setup",IF(SETUP!$B$7=0,$E29,$B29/(1-(SETUP!$B$6+SETUP!$B$5+SETUP!$B$7)))),"")</f>
        <v/>
      </c>
      <c r="G29" s="11" t="str">
        <f>IF(LOWER(SETUP!$B$3)="yes",IF($E29="","",$E29*(1+SETUP!$B$4)),"")</f>
        <v/>
      </c>
      <c r="H29" s="11" t="str">
        <f>IF(LOWER(SETUP!$B$3)="yes",IF($F29="","",$F29*(1+SETUP!$B$4)),"")</f>
        <v/>
      </c>
      <c r="I29" s="12" t="str">
        <f>IF($C29&gt;0,($C29-$B29-($C29*SETUP!$B$5))/$C29,"")</f>
        <v/>
      </c>
      <c r="J29" s="11" t="e">
        <f>IF($E29&gt;0,$E29-$B29-($E29*SETUP!$B$5),"")</f>
        <v>#VALUE!</v>
      </c>
      <c r="K29" s="13" t="str">
        <f t="shared" si="0"/>
        <v/>
      </c>
    </row>
    <row r="30" spans="1:11" x14ac:dyDescent="0.3">
      <c r="A30" s="9"/>
      <c r="B30" s="10"/>
      <c r="C30" s="10"/>
      <c r="D30" s="11" t="str">
        <f>IF($B30&gt;0,$B30/(1-SETUP!$B$5),"")</f>
        <v/>
      </c>
      <c r="E30" s="11" t="str">
        <f>IF($B30&gt;0,IF((1-(SETUP!$B$6+SETUP!$B$5))&lt;=0,"Check setup",$B30/(1-(SETUP!$B$6+SETUP!$B$5))),"")</f>
        <v/>
      </c>
      <c r="F30" s="11" t="str">
        <f>IF($B30&gt;0,IF((1-(SETUP!$B$6+SETUP!$B$5+SETUP!$B$7))&lt;=0,"Check setup",IF(SETUP!$B$7=0,$E30,$B30/(1-(SETUP!$B$6+SETUP!$B$5+SETUP!$B$7)))),"")</f>
        <v/>
      </c>
      <c r="G30" s="11" t="str">
        <f>IF(LOWER(SETUP!$B$3)="yes",IF($E30="","",$E30*(1+SETUP!$B$4)),"")</f>
        <v/>
      </c>
      <c r="H30" s="11" t="str">
        <f>IF(LOWER(SETUP!$B$3)="yes",IF($F30="","",$F30*(1+SETUP!$B$4)),"")</f>
        <v/>
      </c>
      <c r="I30" s="12" t="str">
        <f>IF($C30&gt;0,($C30-$B30-($C30*SETUP!$B$5))/$C30,"")</f>
        <v/>
      </c>
      <c r="J30" s="11" t="e">
        <f>IF($E30&gt;0,$E30-$B30-($E30*SETUP!$B$5),"")</f>
        <v>#VALUE!</v>
      </c>
      <c r="K30" s="13" t="str">
        <f t="shared" si="0"/>
        <v/>
      </c>
    </row>
    <row r="31" spans="1:11" x14ac:dyDescent="0.3">
      <c r="A31" s="9"/>
      <c r="B31" s="10"/>
      <c r="C31" s="10"/>
      <c r="D31" s="11" t="str">
        <f>IF($B31&gt;0,$B31/(1-SETUP!$B$5),"")</f>
        <v/>
      </c>
      <c r="E31" s="11" t="str">
        <f>IF($B31&gt;0,IF((1-(SETUP!$B$6+SETUP!$B$5))&lt;=0,"Check setup",$B31/(1-(SETUP!$B$6+SETUP!$B$5))),"")</f>
        <v/>
      </c>
      <c r="F31" s="11" t="str">
        <f>IF($B31&gt;0,IF((1-(SETUP!$B$6+SETUP!$B$5+SETUP!$B$7))&lt;=0,"Check setup",IF(SETUP!$B$7=0,$E31,$B31/(1-(SETUP!$B$6+SETUP!$B$5+SETUP!$B$7)))),"")</f>
        <v/>
      </c>
      <c r="G31" s="11" t="str">
        <f>IF(LOWER(SETUP!$B$3)="yes",IF($E31="","",$E31*(1+SETUP!$B$4)),"")</f>
        <v/>
      </c>
      <c r="H31" s="11" t="str">
        <f>IF(LOWER(SETUP!$B$3)="yes",IF($F31="","",$F31*(1+SETUP!$B$4)),"")</f>
        <v/>
      </c>
      <c r="I31" s="12" t="str">
        <f>IF($C31&gt;0,($C31-$B31-($C31*SETUP!$B$5))/$C31,"")</f>
        <v/>
      </c>
      <c r="J31" s="11" t="e">
        <f>IF($E31&gt;0,$E31-$B31-($E31*SETUP!$B$5),"")</f>
        <v>#VALUE!</v>
      </c>
      <c r="K31" s="13" t="str">
        <f t="shared" si="0"/>
        <v/>
      </c>
    </row>
    <row r="32" spans="1:11" x14ac:dyDescent="0.3">
      <c r="A32" s="9"/>
      <c r="B32" s="10"/>
      <c r="C32" s="10"/>
      <c r="D32" s="11" t="str">
        <f>IF($B32&gt;0,$B32/(1-SETUP!$B$5),"")</f>
        <v/>
      </c>
      <c r="E32" s="11" t="str">
        <f>IF($B32&gt;0,IF((1-(SETUP!$B$6+SETUP!$B$5))&lt;=0,"Check setup",$B32/(1-(SETUP!$B$6+SETUP!$B$5))),"")</f>
        <v/>
      </c>
      <c r="F32" s="11" t="str">
        <f>IF($B32&gt;0,IF((1-(SETUP!$B$6+SETUP!$B$5+SETUP!$B$7))&lt;=0,"Check setup",IF(SETUP!$B$7=0,$E32,$B32/(1-(SETUP!$B$6+SETUP!$B$5+SETUP!$B$7)))),"")</f>
        <v/>
      </c>
      <c r="G32" s="11" t="str">
        <f>IF(LOWER(SETUP!$B$3)="yes",IF($E32="","",$E32*(1+SETUP!$B$4)),"")</f>
        <v/>
      </c>
      <c r="H32" s="11" t="str">
        <f>IF(LOWER(SETUP!$B$3)="yes",IF($F32="","",$F32*(1+SETUP!$B$4)),"")</f>
        <v/>
      </c>
      <c r="I32" s="12" t="str">
        <f>IF($C32&gt;0,($C32-$B32-($C32*SETUP!$B$5))/$C32,"")</f>
        <v/>
      </c>
      <c r="J32" s="11" t="e">
        <f>IF($E32&gt;0,$E32-$B32-($E32*SETUP!$B$5),"")</f>
        <v>#VALUE!</v>
      </c>
      <c r="K32" s="13" t="str">
        <f t="shared" si="0"/>
        <v/>
      </c>
    </row>
    <row r="33" spans="1:11" x14ac:dyDescent="0.3">
      <c r="A33" s="9"/>
      <c r="B33" s="10"/>
      <c r="C33" s="10"/>
      <c r="D33" s="11" t="str">
        <f>IF($B33&gt;0,$B33/(1-SETUP!$B$5),"")</f>
        <v/>
      </c>
      <c r="E33" s="11" t="str">
        <f>IF($B33&gt;0,IF((1-(SETUP!$B$6+SETUP!$B$5))&lt;=0,"Check setup",$B33/(1-(SETUP!$B$6+SETUP!$B$5))),"")</f>
        <v/>
      </c>
      <c r="F33" s="11" t="str">
        <f>IF($B33&gt;0,IF((1-(SETUP!$B$6+SETUP!$B$5+SETUP!$B$7))&lt;=0,"Check setup",IF(SETUP!$B$7=0,$E33,$B33/(1-(SETUP!$B$6+SETUP!$B$5+SETUP!$B$7)))),"")</f>
        <v/>
      </c>
      <c r="G33" s="11" t="str">
        <f>IF(LOWER(SETUP!$B$3)="yes",IF($E33="","",$E33*(1+SETUP!$B$4)),"")</f>
        <v/>
      </c>
      <c r="H33" s="11" t="str">
        <f>IF(LOWER(SETUP!$B$3)="yes",IF($F33="","",$F33*(1+SETUP!$B$4)),"")</f>
        <v/>
      </c>
      <c r="I33" s="12" t="str">
        <f>IF($C33&gt;0,($C33-$B33-($C33*SETUP!$B$5))/$C33,"")</f>
        <v/>
      </c>
      <c r="J33" s="11" t="e">
        <f>IF($E33&gt;0,$E33-$B33-($E33*SETUP!$B$5),"")</f>
        <v>#VALUE!</v>
      </c>
      <c r="K33" s="13" t="str">
        <f t="shared" si="0"/>
        <v/>
      </c>
    </row>
    <row r="34" spans="1:11" x14ac:dyDescent="0.3">
      <c r="A34" s="9"/>
      <c r="B34" s="10"/>
      <c r="C34" s="10"/>
      <c r="D34" s="11" t="str">
        <f>IF($B34&gt;0,$B34/(1-SETUP!$B$5),"")</f>
        <v/>
      </c>
      <c r="E34" s="11" t="str">
        <f>IF($B34&gt;0,IF((1-(SETUP!$B$6+SETUP!$B$5))&lt;=0,"Check setup",$B34/(1-(SETUP!$B$6+SETUP!$B$5))),"")</f>
        <v/>
      </c>
      <c r="F34" s="11" t="str">
        <f>IF($B34&gt;0,IF((1-(SETUP!$B$6+SETUP!$B$5+SETUP!$B$7))&lt;=0,"Check setup",IF(SETUP!$B$7=0,$E34,$B34/(1-(SETUP!$B$6+SETUP!$B$5+SETUP!$B$7)))),"")</f>
        <v/>
      </c>
      <c r="G34" s="11" t="str">
        <f>IF(LOWER(SETUP!$B$3)="yes",IF($E34="","",$E34*(1+SETUP!$B$4)),"")</f>
        <v/>
      </c>
      <c r="H34" s="11" t="str">
        <f>IF(LOWER(SETUP!$B$3)="yes",IF($F34="","",$F34*(1+SETUP!$B$4)),"")</f>
        <v/>
      </c>
      <c r="I34" s="12" t="str">
        <f>IF($C34&gt;0,($C34-$B34-($C34*SETUP!$B$5))/$C34,"")</f>
        <v/>
      </c>
      <c r="J34" s="11" t="e">
        <f>IF($E34&gt;0,$E34-$B34-($E34*SETUP!$B$5),"")</f>
        <v>#VALUE!</v>
      </c>
      <c r="K34" s="13" t="str">
        <f t="shared" si="0"/>
        <v/>
      </c>
    </row>
    <row r="35" spans="1:11" x14ac:dyDescent="0.3">
      <c r="A35" s="9"/>
      <c r="B35" s="10"/>
      <c r="C35" s="10"/>
      <c r="D35" s="11" t="str">
        <f>IF($B35&gt;0,$B35/(1-SETUP!$B$5),"")</f>
        <v/>
      </c>
      <c r="E35" s="11" t="str">
        <f>IF($B35&gt;0,IF((1-(SETUP!$B$6+SETUP!$B$5))&lt;=0,"Check setup",$B35/(1-(SETUP!$B$6+SETUP!$B$5))),"")</f>
        <v/>
      </c>
      <c r="F35" s="11" t="str">
        <f>IF($B35&gt;0,IF((1-(SETUP!$B$6+SETUP!$B$5+SETUP!$B$7))&lt;=0,"Check setup",IF(SETUP!$B$7=0,$E35,$B35/(1-(SETUP!$B$6+SETUP!$B$5+SETUP!$B$7)))),"")</f>
        <v/>
      </c>
      <c r="G35" s="11" t="str">
        <f>IF(LOWER(SETUP!$B$3)="yes",IF($E35="","",$E35*(1+SETUP!$B$4)),"")</f>
        <v/>
      </c>
      <c r="H35" s="11" t="str">
        <f>IF(LOWER(SETUP!$B$3)="yes",IF($F35="","",$F35*(1+SETUP!$B$4)),"")</f>
        <v/>
      </c>
      <c r="I35" s="12" t="str">
        <f>IF($C35&gt;0,($C35-$B35-($C35*SETUP!$B$5))/$C35,"")</f>
        <v/>
      </c>
      <c r="J35" s="11" t="e">
        <f>IF($E35&gt;0,$E35-$B35-($E35*SETUP!$B$5),"")</f>
        <v>#VALUE!</v>
      </c>
      <c r="K35" s="13" t="str">
        <f t="shared" si="0"/>
        <v/>
      </c>
    </row>
    <row r="36" spans="1:11" x14ac:dyDescent="0.3">
      <c r="A36" s="9"/>
      <c r="B36" s="10"/>
      <c r="C36" s="10"/>
      <c r="D36" s="11" t="str">
        <f>IF($B36&gt;0,$B36/(1-SETUP!$B$5),"")</f>
        <v/>
      </c>
      <c r="E36" s="11" t="str">
        <f>IF($B36&gt;0,IF((1-(SETUP!$B$6+SETUP!$B$5))&lt;=0,"Check setup",$B36/(1-(SETUP!$B$6+SETUP!$B$5))),"")</f>
        <v/>
      </c>
      <c r="F36" s="11" t="str">
        <f>IF($B36&gt;0,IF((1-(SETUP!$B$6+SETUP!$B$5+SETUP!$B$7))&lt;=0,"Check setup",IF(SETUP!$B$7=0,$E36,$B36/(1-(SETUP!$B$6+SETUP!$B$5+SETUP!$B$7)))),"")</f>
        <v/>
      </c>
      <c r="G36" s="11" t="str">
        <f>IF(LOWER(SETUP!$B$3)="yes",IF($E36="","",$E36*(1+SETUP!$B$4)),"")</f>
        <v/>
      </c>
      <c r="H36" s="11" t="str">
        <f>IF(LOWER(SETUP!$B$3)="yes",IF($F36="","",$F36*(1+SETUP!$B$4)),"")</f>
        <v/>
      </c>
      <c r="I36" s="12" t="str">
        <f>IF($C36&gt;0,($C36-$B36-($C36*SETUP!$B$5))/$C36,"")</f>
        <v/>
      </c>
      <c r="J36" s="11" t="e">
        <f>IF($E36&gt;0,$E36-$B36-($E36*SETUP!$B$5),"")</f>
        <v>#VALUE!</v>
      </c>
      <c r="K36" s="13" t="str">
        <f t="shared" ref="K36:K67" si="1">IF($C36&gt;0,IF($C36&lt;$E36,"YES","NO"),"")</f>
        <v/>
      </c>
    </row>
    <row r="37" spans="1:11" x14ac:dyDescent="0.3">
      <c r="A37" s="9"/>
      <c r="B37" s="10"/>
      <c r="C37" s="10"/>
      <c r="D37" s="11" t="str">
        <f>IF($B37&gt;0,$B37/(1-SETUP!$B$5),"")</f>
        <v/>
      </c>
      <c r="E37" s="11" t="str">
        <f>IF($B37&gt;0,IF((1-(SETUP!$B$6+SETUP!$B$5))&lt;=0,"Check setup",$B37/(1-(SETUP!$B$6+SETUP!$B$5))),"")</f>
        <v/>
      </c>
      <c r="F37" s="11" t="str">
        <f>IF($B37&gt;0,IF((1-(SETUP!$B$6+SETUP!$B$5+SETUP!$B$7))&lt;=0,"Check setup",IF(SETUP!$B$7=0,$E37,$B37/(1-(SETUP!$B$6+SETUP!$B$5+SETUP!$B$7)))),"")</f>
        <v/>
      </c>
      <c r="G37" s="11" t="str">
        <f>IF(LOWER(SETUP!$B$3)="yes",IF($E37="","",$E37*(1+SETUP!$B$4)),"")</f>
        <v/>
      </c>
      <c r="H37" s="11" t="str">
        <f>IF(LOWER(SETUP!$B$3)="yes",IF($F37="","",$F37*(1+SETUP!$B$4)),"")</f>
        <v/>
      </c>
      <c r="I37" s="12" t="str">
        <f>IF($C37&gt;0,($C37-$B37-($C37*SETUP!$B$5))/$C37,"")</f>
        <v/>
      </c>
      <c r="J37" s="11" t="e">
        <f>IF($E37&gt;0,$E37-$B37-($E37*SETUP!$B$5),"")</f>
        <v>#VALUE!</v>
      </c>
      <c r="K37" s="13" t="str">
        <f t="shared" si="1"/>
        <v/>
      </c>
    </row>
    <row r="38" spans="1:11" x14ac:dyDescent="0.3">
      <c r="A38" s="9"/>
      <c r="B38" s="10"/>
      <c r="C38" s="10"/>
      <c r="D38" s="11" t="str">
        <f>IF($B38&gt;0,$B38/(1-SETUP!$B$5),"")</f>
        <v/>
      </c>
      <c r="E38" s="11" t="str">
        <f>IF($B38&gt;0,IF((1-(SETUP!$B$6+SETUP!$B$5))&lt;=0,"Check setup",$B38/(1-(SETUP!$B$6+SETUP!$B$5))),"")</f>
        <v/>
      </c>
      <c r="F38" s="11" t="str">
        <f>IF($B38&gt;0,IF((1-(SETUP!$B$6+SETUP!$B$5+SETUP!$B$7))&lt;=0,"Check setup",IF(SETUP!$B$7=0,$E38,$B38/(1-(SETUP!$B$6+SETUP!$B$5+SETUP!$B$7)))),"")</f>
        <v/>
      </c>
      <c r="G38" s="11" t="str">
        <f>IF(LOWER(SETUP!$B$3)="yes",IF($E38="","",$E38*(1+SETUP!$B$4)),"")</f>
        <v/>
      </c>
      <c r="H38" s="11" t="str">
        <f>IF(LOWER(SETUP!$B$3)="yes",IF($F38="","",$F38*(1+SETUP!$B$4)),"")</f>
        <v/>
      </c>
      <c r="I38" s="12" t="str">
        <f>IF($C38&gt;0,($C38-$B38-($C38*SETUP!$B$5))/$C38,"")</f>
        <v/>
      </c>
      <c r="J38" s="11" t="e">
        <f>IF($E38&gt;0,$E38-$B38-($E38*SETUP!$B$5),"")</f>
        <v>#VALUE!</v>
      </c>
      <c r="K38" s="13" t="str">
        <f t="shared" si="1"/>
        <v/>
      </c>
    </row>
    <row r="39" spans="1:11" x14ac:dyDescent="0.3">
      <c r="A39" s="9"/>
      <c r="B39" s="10"/>
      <c r="C39" s="10"/>
      <c r="D39" s="11" t="str">
        <f>IF($B39&gt;0,$B39/(1-SETUP!$B$5),"")</f>
        <v/>
      </c>
      <c r="E39" s="11" t="str">
        <f>IF($B39&gt;0,IF((1-(SETUP!$B$6+SETUP!$B$5))&lt;=0,"Check setup",$B39/(1-(SETUP!$B$6+SETUP!$B$5))),"")</f>
        <v/>
      </c>
      <c r="F39" s="11" t="str">
        <f>IF($B39&gt;0,IF((1-(SETUP!$B$6+SETUP!$B$5+SETUP!$B$7))&lt;=0,"Check setup",IF(SETUP!$B$7=0,$E39,$B39/(1-(SETUP!$B$6+SETUP!$B$5+SETUP!$B$7)))),"")</f>
        <v/>
      </c>
      <c r="G39" s="11" t="str">
        <f>IF(LOWER(SETUP!$B$3)="yes",IF($E39="","",$E39*(1+SETUP!$B$4)),"")</f>
        <v/>
      </c>
      <c r="H39" s="11" t="str">
        <f>IF(LOWER(SETUP!$B$3)="yes",IF($F39="","",$F39*(1+SETUP!$B$4)),"")</f>
        <v/>
      </c>
      <c r="I39" s="12" t="str">
        <f>IF($C39&gt;0,($C39-$B39-($C39*SETUP!$B$5))/$C39,"")</f>
        <v/>
      </c>
      <c r="J39" s="11" t="e">
        <f>IF($E39&gt;0,$E39-$B39-($E39*SETUP!$B$5),"")</f>
        <v>#VALUE!</v>
      </c>
      <c r="K39" s="13" t="str">
        <f t="shared" si="1"/>
        <v/>
      </c>
    </row>
    <row r="40" spans="1:11" x14ac:dyDescent="0.3">
      <c r="A40" s="9"/>
      <c r="B40" s="10"/>
      <c r="C40" s="10"/>
      <c r="D40" s="11" t="str">
        <f>IF($B40&gt;0,$B40/(1-SETUP!$B$5),"")</f>
        <v/>
      </c>
      <c r="E40" s="11" t="str">
        <f>IF($B40&gt;0,IF((1-(SETUP!$B$6+SETUP!$B$5))&lt;=0,"Check setup",$B40/(1-(SETUP!$B$6+SETUP!$B$5))),"")</f>
        <v/>
      </c>
      <c r="F40" s="11" t="str">
        <f>IF($B40&gt;0,IF((1-(SETUP!$B$6+SETUP!$B$5+SETUP!$B$7))&lt;=0,"Check setup",IF(SETUP!$B$7=0,$E40,$B40/(1-(SETUP!$B$6+SETUP!$B$5+SETUP!$B$7)))),"")</f>
        <v/>
      </c>
      <c r="G40" s="11" t="str">
        <f>IF(LOWER(SETUP!$B$3)="yes",IF($E40="","",$E40*(1+SETUP!$B$4)),"")</f>
        <v/>
      </c>
      <c r="H40" s="11" t="str">
        <f>IF(LOWER(SETUP!$B$3)="yes",IF($F40="","",$F40*(1+SETUP!$B$4)),"")</f>
        <v/>
      </c>
      <c r="I40" s="12" t="str">
        <f>IF($C40&gt;0,($C40-$B40-($C40*SETUP!$B$5))/$C40,"")</f>
        <v/>
      </c>
      <c r="J40" s="11" t="e">
        <f>IF($E40&gt;0,$E40-$B40-($E40*SETUP!$B$5),"")</f>
        <v>#VALUE!</v>
      </c>
      <c r="K40" s="13" t="str">
        <f t="shared" si="1"/>
        <v/>
      </c>
    </row>
    <row r="41" spans="1:11" x14ac:dyDescent="0.3">
      <c r="A41" s="9"/>
      <c r="B41" s="10"/>
      <c r="C41" s="10"/>
      <c r="D41" s="11" t="str">
        <f>IF($B41&gt;0,$B41/(1-SETUP!$B$5),"")</f>
        <v/>
      </c>
      <c r="E41" s="11" t="str">
        <f>IF($B41&gt;0,IF((1-(SETUP!$B$6+SETUP!$B$5))&lt;=0,"Check setup",$B41/(1-(SETUP!$B$6+SETUP!$B$5))),"")</f>
        <v/>
      </c>
      <c r="F41" s="11" t="str">
        <f>IF($B41&gt;0,IF((1-(SETUP!$B$6+SETUP!$B$5+SETUP!$B$7))&lt;=0,"Check setup",IF(SETUP!$B$7=0,$E41,$B41/(1-(SETUP!$B$6+SETUP!$B$5+SETUP!$B$7)))),"")</f>
        <v/>
      </c>
      <c r="G41" s="11" t="str">
        <f>IF(LOWER(SETUP!$B$3)="yes",IF($E41="","",$E41*(1+SETUP!$B$4)),"")</f>
        <v/>
      </c>
      <c r="H41" s="11" t="str">
        <f>IF(LOWER(SETUP!$B$3)="yes",IF($F41="","",$F41*(1+SETUP!$B$4)),"")</f>
        <v/>
      </c>
      <c r="I41" s="12" t="str">
        <f>IF($C41&gt;0,($C41-$B41-($C41*SETUP!$B$5))/$C41,"")</f>
        <v/>
      </c>
      <c r="J41" s="11" t="e">
        <f>IF($E41&gt;0,$E41-$B41-($E41*SETUP!$B$5),"")</f>
        <v>#VALUE!</v>
      </c>
      <c r="K41" s="13" t="str">
        <f t="shared" si="1"/>
        <v/>
      </c>
    </row>
    <row r="42" spans="1:11" x14ac:dyDescent="0.3">
      <c r="A42" s="9"/>
      <c r="B42" s="10"/>
      <c r="C42" s="10"/>
      <c r="D42" s="11" t="str">
        <f>IF($B42&gt;0,$B42/(1-SETUP!$B$5),"")</f>
        <v/>
      </c>
      <c r="E42" s="11" t="str">
        <f>IF($B42&gt;0,IF((1-(SETUP!$B$6+SETUP!$B$5))&lt;=0,"Check setup",$B42/(1-(SETUP!$B$6+SETUP!$B$5))),"")</f>
        <v/>
      </c>
      <c r="F42" s="11" t="str">
        <f>IF($B42&gt;0,IF((1-(SETUP!$B$6+SETUP!$B$5+SETUP!$B$7))&lt;=0,"Check setup",IF(SETUP!$B$7=0,$E42,$B42/(1-(SETUP!$B$6+SETUP!$B$5+SETUP!$B$7)))),"")</f>
        <v/>
      </c>
      <c r="G42" s="11" t="str">
        <f>IF(LOWER(SETUP!$B$3)="yes",IF($E42="","",$E42*(1+SETUP!$B$4)),"")</f>
        <v/>
      </c>
      <c r="H42" s="11" t="str">
        <f>IF(LOWER(SETUP!$B$3)="yes",IF($F42="","",$F42*(1+SETUP!$B$4)),"")</f>
        <v/>
      </c>
      <c r="I42" s="12" t="str">
        <f>IF($C42&gt;0,($C42-$B42-($C42*SETUP!$B$5))/$C42,"")</f>
        <v/>
      </c>
      <c r="J42" s="11" t="e">
        <f>IF($E42&gt;0,$E42-$B42-($E42*SETUP!$B$5),"")</f>
        <v>#VALUE!</v>
      </c>
      <c r="K42" s="13" t="str">
        <f t="shared" si="1"/>
        <v/>
      </c>
    </row>
    <row r="43" spans="1:11" x14ac:dyDescent="0.3">
      <c r="A43" s="9"/>
      <c r="B43" s="10"/>
      <c r="C43" s="10"/>
      <c r="D43" s="11" t="str">
        <f>IF($B43&gt;0,$B43/(1-SETUP!$B$5),"")</f>
        <v/>
      </c>
      <c r="E43" s="11" t="str">
        <f>IF($B43&gt;0,IF((1-(SETUP!$B$6+SETUP!$B$5))&lt;=0,"Check setup",$B43/(1-(SETUP!$B$6+SETUP!$B$5))),"")</f>
        <v/>
      </c>
      <c r="F43" s="11" t="str">
        <f>IF($B43&gt;0,IF((1-(SETUP!$B$6+SETUP!$B$5+SETUP!$B$7))&lt;=0,"Check setup",IF(SETUP!$B$7=0,$E43,$B43/(1-(SETUP!$B$6+SETUP!$B$5+SETUP!$B$7)))),"")</f>
        <v/>
      </c>
      <c r="G43" s="11" t="str">
        <f>IF(LOWER(SETUP!$B$3)="yes",IF($E43="","",$E43*(1+SETUP!$B$4)),"")</f>
        <v/>
      </c>
      <c r="H43" s="11" t="str">
        <f>IF(LOWER(SETUP!$B$3)="yes",IF($F43="","",$F43*(1+SETUP!$B$4)),"")</f>
        <v/>
      </c>
      <c r="I43" s="12" t="str">
        <f>IF($C43&gt;0,($C43-$B43-($C43*SETUP!$B$5))/$C43,"")</f>
        <v/>
      </c>
      <c r="J43" s="11" t="e">
        <f>IF($E43&gt;0,$E43-$B43-($E43*SETUP!$B$5),"")</f>
        <v>#VALUE!</v>
      </c>
      <c r="K43" s="13" t="str">
        <f t="shared" si="1"/>
        <v/>
      </c>
    </row>
    <row r="44" spans="1:11" x14ac:dyDescent="0.3">
      <c r="A44" s="9"/>
      <c r="B44" s="10"/>
      <c r="C44" s="10"/>
      <c r="D44" s="11" t="str">
        <f>IF($B44&gt;0,$B44/(1-SETUP!$B$5),"")</f>
        <v/>
      </c>
      <c r="E44" s="11" t="str">
        <f>IF($B44&gt;0,IF((1-(SETUP!$B$6+SETUP!$B$5))&lt;=0,"Check setup",$B44/(1-(SETUP!$B$6+SETUP!$B$5))),"")</f>
        <v/>
      </c>
      <c r="F44" s="11" t="str">
        <f>IF($B44&gt;0,IF((1-(SETUP!$B$6+SETUP!$B$5+SETUP!$B$7))&lt;=0,"Check setup",IF(SETUP!$B$7=0,$E44,$B44/(1-(SETUP!$B$6+SETUP!$B$5+SETUP!$B$7)))),"")</f>
        <v/>
      </c>
      <c r="G44" s="11" t="str">
        <f>IF(LOWER(SETUP!$B$3)="yes",IF($E44="","",$E44*(1+SETUP!$B$4)),"")</f>
        <v/>
      </c>
      <c r="H44" s="11" t="str">
        <f>IF(LOWER(SETUP!$B$3)="yes",IF($F44="","",$F44*(1+SETUP!$B$4)),"")</f>
        <v/>
      </c>
      <c r="I44" s="12" t="str">
        <f>IF($C44&gt;0,($C44-$B44-($C44*SETUP!$B$5))/$C44,"")</f>
        <v/>
      </c>
      <c r="J44" s="11" t="e">
        <f>IF($E44&gt;0,$E44-$B44-($E44*SETUP!$B$5),"")</f>
        <v>#VALUE!</v>
      </c>
      <c r="K44" s="13" t="str">
        <f t="shared" si="1"/>
        <v/>
      </c>
    </row>
    <row r="45" spans="1:11" x14ac:dyDescent="0.3">
      <c r="A45" s="9"/>
      <c r="B45" s="10"/>
      <c r="C45" s="10"/>
      <c r="D45" s="11" t="str">
        <f>IF($B45&gt;0,$B45/(1-SETUP!$B$5),"")</f>
        <v/>
      </c>
      <c r="E45" s="11" t="str">
        <f>IF($B45&gt;0,IF((1-(SETUP!$B$6+SETUP!$B$5))&lt;=0,"Check setup",$B45/(1-(SETUP!$B$6+SETUP!$B$5))),"")</f>
        <v/>
      </c>
      <c r="F45" s="11" t="str">
        <f>IF($B45&gt;0,IF((1-(SETUP!$B$6+SETUP!$B$5+SETUP!$B$7))&lt;=0,"Check setup",IF(SETUP!$B$7=0,$E45,$B45/(1-(SETUP!$B$6+SETUP!$B$5+SETUP!$B$7)))),"")</f>
        <v/>
      </c>
      <c r="G45" s="11" t="str">
        <f>IF(LOWER(SETUP!$B$3)="yes",IF($E45="","",$E45*(1+SETUP!$B$4)),"")</f>
        <v/>
      </c>
      <c r="H45" s="11" t="str">
        <f>IF(LOWER(SETUP!$B$3)="yes",IF($F45="","",$F45*(1+SETUP!$B$4)),"")</f>
        <v/>
      </c>
      <c r="I45" s="12" t="str">
        <f>IF($C45&gt;0,($C45-$B45-($C45*SETUP!$B$5))/$C45,"")</f>
        <v/>
      </c>
      <c r="J45" s="11" t="e">
        <f>IF($E45&gt;0,$E45-$B45-($E45*SETUP!$B$5),"")</f>
        <v>#VALUE!</v>
      </c>
      <c r="K45" s="13" t="str">
        <f t="shared" si="1"/>
        <v/>
      </c>
    </row>
    <row r="46" spans="1:11" x14ac:dyDescent="0.3">
      <c r="A46" s="9"/>
      <c r="B46" s="10"/>
      <c r="C46" s="10"/>
      <c r="D46" s="11" t="str">
        <f>IF($B46&gt;0,$B46/(1-SETUP!$B$5),"")</f>
        <v/>
      </c>
      <c r="E46" s="11" t="str">
        <f>IF($B46&gt;0,IF((1-(SETUP!$B$6+SETUP!$B$5))&lt;=0,"Check setup",$B46/(1-(SETUP!$B$6+SETUP!$B$5))),"")</f>
        <v/>
      </c>
      <c r="F46" s="11" t="str">
        <f>IF($B46&gt;0,IF((1-(SETUP!$B$6+SETUP!$B$5+SETUP!$B$7))&lt;=0,"Check setup",IF(SETUP!$B$7=0,$E46,$B46/(1-(SETUP!$B$6+SETUP!$B$5+SETUP!$B$7)))),"")</f>
        <v/>
      </c>
      <c r="G46" s="11" t="str">
        <f>IF(LOWER(SETUP!$B$3)="yes",IF($E46="","",$E46*(1+SETUP!$B$4)),"")</f>
        <v/>
      </c>
      <c r="H46" s="11" t="str">
        <f>IF(LOWER(SETUP!$B$3)="yes",IF($F46="","",$F46*(1+SETUP!$B$4)),"")</f>
        <v/>
      </c>
      <c r="I46" s="12" t="str">
        <f>IF($C46&gt;0,($C46-$B46-($C46*SETUP!$B$5))/$C46,"")</f>
        <v/>
      </c>
      <c r="J46" s="11" t="e">
        <f>IF($E46&gt;0,$E46-$B46-($E46*SETUP!$B$5),"")</f>
        <v>#VALUE!</v>
      </c>
      <c r="K46" s="13" t="str">
        <f t="shared" si="1"/>
        <v/>
      </c>
    </row>
    <row r="47" spans="1:11" x14ac:dyDescent="0.3">
      <c r="A47" s="9"/>
      <c r="B47" s="10"/>
      <c r="C47" s="10"/>
      <c r="D47" s="11" t="str">
        <f>IF($B47&gt;0,$B47/(1-SETUP!$B$5),"")</f>
        <v/>
      </c>
      <c r="E47" s="11" t="str">
        <f>IF($B47&gt;0,IF((1-(SETUP!$B$6+SETUP!$B$5))&lt;=0,"Check setup",$B47/(1-(SETUP!$B$6+SETUP!$B$5))),"")</f>
        <v/>
      </c>
      <c r="F47" s="11" t="str">
        <f>IF($B47&gt;0,IF((1-(SETUP!$B$6+SETUP!$B$5+SETUP!$B$7))&lt;=0,"Check setup",IF(SETUP!$B$7=0,$E47,$B47/(1-(SETUP!$B$6+SETUP!$B$5+SETUP!$B$7)))),"")</f>
        <v/>
      </c>
      <c r="G47" s="11" t="str">
        <f>IF(LOWER(SETUP!$B$3)="yes",IF($E47="","",$E47*(1+SETUP!$B$4)),"")</f>
        <v/>
      </c>
      <c r="H47" s="11" t="str">
        <f>IF(LOWER(SETUP!$B$3)="yes",IF($F47="","",$F47*(1+SETUP!$B$4)),"")</f>
        <v/>
      </c>
      <c r="I47" s="12" t="str">
        <f>IF($C47&gt;0,($C47-$B47-($C47*SETUP!$B$5))/$C47,"")</f>
        <v/>
      </c>
      <c r="J47" s="11" t="e">
        <f>IF($E47&gt;0,$E47-$B47-($E47*SETUP!$B$5),"")</f>
        <v>#VALUE!</v>
      </c>
      <c r="K47" s="13" t="str">
        <f t="shared" si="1"/>
        <v/>
      </c>
    </row>
    <row r="48" spans="1:11" x14ac:dyDescent="0.3">
      <c r="A48" s="9"/>
      <c r="B48" s="10"/>
      <c r="C48" s="10"/>
      <c r="D48" s="11" t="str">
        <f>IF($B48&gt;0,$B48/(1-SETUP!$B$5),"")</f>
        <v/>
      </c>
      <c r="E48" s="11" t="str">
        <f>IF($B48&gt;0,IF((1-(SETUP!$B$6+SETUP!$B$5))&lt;=0,"Check setup",$B48/(1-(SETUP!$B$6+SETUP!$B$5))),"")</f>
        <v/>
      </c>
      <c r="F48" s="11" t="str">
        <f>IF($B48&gt;0,IF((1-(SETUP!$B$6+SETUP!$B$5+SETUP!$B$7))&lt;=0,"Check setup",IF(SETUP!$B$7=0,$E48,$B48/(1-(SETUP!$B$6+SETUP!$B$5+SETUP!$B$7)))),"")</f>
        <v/>
      </c>
      <c r="G48" s="11" t="str">
        <f>IF(LOWER(SETUP!$B$3)="yes",IF($E48="","",$E48*(1+SETUP!$B$4)),"")</f>
        <v/>
      </c>
      <c r="H48" s="11" t="str">
        <f>IF(LOWER(SETUP!$B$3)="yes",IF($F48="","",$F48*(1+SETUP!$B$4)),"")</f>
        <v/>
      </c>
      <c r="I48" s="12" t="str">
        <f>IF($C48&gt;0,($C48-$B48-($C48*SETUP!$B$5))/$C48,"")</f>
        <v/>
      </c>
      <c r="J48" s="11" t="e">
        <f>IF($E48&gt;0,$E48-$B48-($E48*SETUP!$B$5),"")</f>
        <v>#VALUE!</v>
      </c>
      <c r="K48" s="13" t="str">
        <f t="shared" si="1"/>
        <v/>
      </c>
    </row>
    <row r="49" spans="1:11" x14ac:dyDescent="0.3">
      <c r="A49" s="9"/>
      <c r="B49" s="10"/>
      <c r="C49" s="10"/>
      <c r="D49" s="11" t="str">
        <f>IF($B49&gt;0,$B49/(1-SETUP!$B$5),"")</f>
        <v/>
      </c>
      <c r="E49" s="11" t="str">
        <f>IF($B49&gt;0,IF((1-(SETUP!$B$6+SETUP!$B$5))&lt;=0,"Check setup",$B49/(1-(SETUP!$B$6+SETUP!$B$5))),"")</f>
        <v/>
      </c>
      <c r="F49" s="11" t="str">
        <f>IF($B49&gt;0,IF((1-(SETUP!$B$6+SETUP!$B$5+SETUP!$B$7))&lt;=0,"Check setup",IF(SETUP!$B$7=0,$E49,$B49/(1-(SETUP!$B$6+SETUP!$B$5+SETUP!$B$7)))),"")</f>
        <v/>
      </c>
      <c r="G49" s="11" t="str">
        <f>IF(LOWER(SETUP!$B$3)="yes",IF($E49="","",$E49*(1+SETUP!$B$4)),"")</f>
        <v/>
      </c>
      <c r="H49" s="11" t="str">
        <f>IF(LOWER(SETUP!$B$3)="yes",IF($F49="","",$F49*(1+SETUP!$B$4)),"")</f>
        <v/>
      </c>
      <c r="I49" s="12" t="str">
        <f>IF($C49&gt;0,($C49-$B49-($C49*SETUP!$B$5))/$C49,"")</f>
        <v/>
      </c>
      <c r="J49" s="11" t="e">
        <f>IF($E49&gt;0,$E49-$B49-($E49*SETUP!$B$5),"")</f>
        <v>#VALUE!</v>
      </c>
      <c r="K49" s="13" t="str">
        <f t="shared" si="1"/>
        <v/>
      </c>
    </row>
    <row r="50" spans="1:11" x14ac:dyDescent="0.3">
      <c r="A50" s="9"/>
      <c r="B50" s="10"/>
      <c r="C50" s="10"/>
      <c r="D50" s="11" t="str">
        <f>IF($B50&gt;0,$B50/(1-SETUP!$B$5),"")</f>
        <v/>
      </c>
      <c r="E50" s="11" t="str">
        <f>IF($B50&gt;0,IF((1-(SETUP!$B$6+SETUP!$B$5))&lt;=0,"Check setup",$B50/(1-(SETUP!$B$6+SETUP!$B$5))),"")</f>
        <v/>
      </c>
      <c r="F50" s="11" t="str">
        <f>IF($B50&gt;0,IF((1-(SETUP!$B$6+SETUP!$B$5+SETUP!$B$7))&lt;=0,"Check setup",IF(SETUP!$B$7=0,$E50,$B50/(1-(SETUP!$B$6+SETUP!$B$5+SETUP!$B$7)))),"")</f>
        <v/>
      </c>
      <c r="G50" s="11" t="str">
        <f>IF(LOWER(SETUP!$B$3)="yes",IF($E50="","",$E50*(1+SETUP!$B$4)),"")</f>
        <v/>
      </c>
      <c r="H50" s="11" t="str">
        <f>IF(LOWER(SETUP!$B$3)="yes",IF($F50="","",$F50*(1+SETUP!$B$4)),"")</f>
        <v/>
      </c>
      <c r="I50" s="12" t="str">
        <f>IF($C50&gt;0,($C50-$B50-($C50*SETUP!$B$5))/$C50,"")</f>
        <v/>
      </c>
      <c r="J50" s="11" t="e">
        <f>IF($E50&gt;0,$E50-$B50-($E50*SETUP!$B$5),"")</f>
        <v>#VALUE!</v>
      </c>
      <c r="K50" s="13" t="str">
        <f t="shared" si="1"/>
        <v/>
      </c>
    </row>
    <row r="51" spans="1:11" x14ac:dyDescent="0.3">
      <c r="A51" s="9"/>
      <c r="B51" s="10"/>
      <c r="C51" s="10"/>
      <c r="D51" s="11" t="str">
        <f>IF($B51&gt;0,$B51/(1-SETUP!$B$5),"")</f>
        <v/>
      </c>
      <c r="E51" s="11" t="str">
        <f>IF($B51&gt;0,IF((1-(SETUP!$B$6+SETUP!$B$5))&lt;=0,"Check setup",$B51/(1-(SETUP!$B$6+SETUP!$B$5))),"")</f>
        <v/>
      </c>
      <c r="F51" s="11" t="str">
        <f>IF($B51&gt;0,IF((1-(SETUP!$B$6+SETUP!$B$5+SETUP!$B$7))&lt;=0,"Check setup",IF(SETUP!$B$7=0,$E51,$B51/(1-(SETUP!$B$6+SETUP!$B$5+SETUP!$B$7)))),"")</f>
        <v/>
      </c>
      <c r="G51" s="11" t="str">
        <f>IF(LOWER(SETUP!$B$3)="yes",IF($E51="","",$E51*(1+SETUP!$B$4)),"")</f>
        <v/>
      </c>
      <c r="H51" s="11" t="str">
        <f>IF(LOWER(SETUP!$B$3)="yes",IF($F51="","",$F51*(1+SETUP!$B$4)),"")</f>
        <v/>
      </c>
      <c r="I51" s="12" t="str">
        <f>IF($C51&gt;0,($C51-$B51-($C51*SETUP!$B$5))/$C51,"")</f>
        <v/>
      </c>
      <c r="J51" s="11" t="e">
        <f>IF($E51&gt;0,$E51-$B51-($E51*SETUP!$B$5),"")</f>
        <v>#VALUE!</v>
      </c>
      <c r="K51" s="13" t="str">
        <f t="shared" si="1"/>
        <v/>
      </c>
    </row>
    <row r="52" spans="1:11" x14ac:dyDescent="0.3">
      <c r="A52" s="9"/>
      <c r="B52" s="10"/>
      <c r="C52" s="10"/>
      <c r="D52" s="11" t="str">
        <f>IF($B52&gt;0,$B52/(1-SETUP!$B$5),"")</f>
        <v/>
      </c>
      <c r="E52" s="11" t="str">
        <f>IF($B52&gt;0,IF((1-(SETUP!$B$6+SETUP!$B$5))&lt;=0,"Check setup",$B52/(1-(SETUP!$B$6+SETUP!$B$5))),"")</f>
        <v/>
      </c>
      <c r="F52" s="11" t="str">
        <f>IF($B52&gt;0,IF((1-(SETUP!$B$6+SETUP!$B$5+SETUP!$B$7))&lt;=0,"Check setup",IF(SETUP!$B$7=0,$E52,$B52/(1-(SETUP!$B$6+SETUP!$B$5+SETUP!$B$7)))),"")</f>
        <v/>
      </c>
      <c r="G52" s="11" t="str">
        <f>IF(LOWER(SETUP!$B$3)="yes",IF($E52="","",$E52*(1+SETUP!$B$4)),"")</f>
        <v/>
      </c>
      <c r="H52" s="11" t="str">
        <f>IF(LOWER(SETUP!$B$3)="yes",IF($F52="","",$F52*(1+SETUP!$B$4)),"")</f>
        <v/>
      </c>
      <c r="I52" s="12" t="str">
        <f>IF($C52&gt;0,($C52-$B52-($C52*SETUP!$B$5))/$C52,"")</f>
        <v/>
      </c>
      <c r="J52" s="11" t="e">
        <f>IF($E52&gt;0,$E52-$B52-($E52*SETUP!$B$5),"")</f>
        <v>#VALUE!</v>
      </c>
      <c r="K52" s="13" t="str">
        <f t="shared" si="1"/>
        <v/>
      </c>
    </row>
    <row r="53" spans="1:11" x14ac:dyDescent="0.3">
      <c r="A53" s="9"/>
      <c r="B53" s="10"/>
      <c r="C53" s="10"/>
      <c r="D53" s="11" t="str">
        <f>IF($B53&gt;0,$B53/(1-SETUP!$B$5),"")</f>
        <v/>
      </c>
      <c r="E53" s="11" t="str">
        <f>IF($B53&gt;0,IF((1-(SETUP!$B$6+SETUP!$B$5))&lt;=0,"Check setup",$B53/(1-(SETUP!$B$6+SETUP!$B$5))),"")</f>
        <v/>
      </c>
      <c r="F53" s="11" t="str">
        <f>IF($B53&gt;0,IF((1-(SETUP!$B$6+SETUP!$B$5+SETUP!$B$7))&lt;=0,"Check setup",IF(SETUP!$B$7=0,$E53,$B53/(1-(SETUP!$B$6+SETUP!$B$5+SETUP!$B$7)))),"")</f>
        <v/>
      </c>
      <c r="G53" s="11" t="str">
        <f>IF(LOWER(SETUP!$B$3)="yes",IF($E53="","",$E53*(1+SETUP!$B$4)),"")</f>
        <v/>
      </c>
      <c r="H53" s="11" t="str">
        <f>IF(LOWER(SETUP!$B$3)="yes",IF($F53="","",$F53*(1+SETUP!$B$4)),"")</f>
        <v/>
      </c>
      <c r="I53" s="12" t="str">
        <f>IF($C53&gt;0,($C53-$B53-($C53*SETUP!$B$5))/$C53,"")</f>
        <v/>
      </c>
      <c r="J53" s="11" t="e">
        <f>IF($E53&gt;0,$E53-$B53-($E53*SETUP!$B$5),"")</f>
        <v>#VALUE!</v>
      </c>
      <c r="K53" s="13" t="str">
        <f t="shared" si="1"/>
        <v/>
      </c>
    </row>
    <row r="54" spans="1:11" x14ac:dyDescent="0.3">
      <c r="A54" s="9"/>
      <c r="B54" s="10"/>
      <c r="C54" s="10"/>
      <c r="D54" s="11" t="str">
        <f>IF($B54&gt;0,$B54/(1-SETUP!$B$5),"")</f>
        <v/>
      </c>
      <c r="E54" s="11" t="str">
        <f>IF($B54&gt;0,IF((1-(SETUP!$B$6+SETUP!$B$5))&lt;=0,"Check setup",$B54/(1-(SETUP!$B$6+SETUP!$B$5))),"")</f>
        <v/>
      </c>
      <c r="F54" s="11" t="str">
        <f>IF($B54&gt;0,IF((1-(SETUP!$B$6+SETUP!$B$5+SETUP!$B$7))&lt;=0,"Check setup",IF(SETUP!$B$7=0,$E54,$B54/(1-(SETUP!$B$6+SETUP!$B$5+SETUP!$B$7)))),"")</f>
        <v/>
      </c>
      <c r="G54" s="11" t="str">
        <f>IF(LOWER(SETUP!$B$3)="yes",IF($E54="","",$E54*(1+SETUP!$B$4)),"")</f>
        <v/>
      </c>
      <c r="H54" s="11" t="str">
        <f>IF(LOWER(SETUP!$B$3)="yes",IF($F54="","",$F54*(1+SETUP!$B$4)),"")</f>
        <v/>
      </c>
      <c r="I54" s="12" t="str">
        <f>IF($C54&gt;0,($C54-$B54-($C54*SETUP!$B$5))/$C54,"")</f>
        <v/>
      </c>
      <c r="J54" s="11" t="e">
        <f>IF($E54&gt;0,$E54-$B54-($E54*SETUP!$B$5),"")</f>
        <v>#VALUE!</v>
      </c>
      <c r="K54" s="13" t="str">
        <f t="shared" si="1"/>
        <v/>
      </c>
    </row>
    <row r="55" spans="1:11" x14ac:dyDescent="0.3">
      <c r="A55" s="9"/>
      <c r="B55" s="10"/>
      <c r="C55" s="10"/>
      <c r="D55" s="11" t="str">
        <f>IF($B55&gt;0,$B55/(1-SETUP!$B$5),"")</f>
        <v/>
      </c>
      <c r="E55" s="11" t="str">
        <f>IF($B55&gt;0,IF((1-(SETUP!$B$6+SETUP!$B$5))&lt;=0,"Check setup",$B55/(1-(SETUP!$B$6+SETUP!$B$5))),"")</f>
        <v/>
      </c>
      <c r="F55" s="11" t="str">
        <f>IF($B55&gt;0,IF((1-(SETUP!$B$6+SETUP!$B$5+SETUP!$B$7))&lt;=0,"Check setup",IF(SETUP!$B$7=0,$E55,$B55/(1-(SETUP!$B$6+SETUP!$B$5+SETUP!$B$7)))),"")</f>
        <v/>
      </c>
      <c r="G55" s="11" t="str">
        <f>IF(LOWER(SETUP!$B$3)="yes",IF($E55="","",$E55*(1+SETUP!$B$4)),"")</f>
        <v/>
      </c>
      <c r="H55" s="11" t="str">
        <f>IF(LOWER(SETUP!$B$3)="yes",IF($F55="","",$F55*(1+SETUP!$B$4)),"")</f>
        <v/>
      </c>
      <c r="I55" s="12" t="str">
        <f>IF($C55&gt;0,($C55-$B55-($C55*SETUP!$B$5))/$C55,"")</f>
        <v/>
      </c>
      <c r="J55" s="11" t="e">
        <f>IF($E55&gt;0,$E55-$B55-($E55*SETUP!$B$5),"")</f>
        <v>#VALUE!</v>
      </c>
      <c r="K55" s="13" t="str">
        <f t="shared" si="1"/>
        <v/>
      </c>
    </row>
    <row r="56" spans="1:11" x14ac:dyDescent="0.3">
      <c r="A56" s="9"/>
      <c r="B56" s="10"/>
      <c r="C56" s="10"/>
      <c r="D56" s="11" t="str">
        <f>IF($B56&gt;0,$B56/(1-SETUP!$B$5),"")</f>
        <v/>
      </c>
      <c r="E56" s="11" t="str">
        <f>IF($B56&gt;0,IF((1-(SETUP!$B$6+SETUP!$B$5))&lt;=0,"Check setup",$B56/(1-(SETUP!$B$6+SETUP!$B$5))),"")</f>
        <v/>
      </c>
      <c r="F56" s="11" t="str">
        <f>IF($B56&gt;0,IF((1-(SETUP!$B$6+SETUP!$B$5+SETUP!$B$7))&lt;=0,"Check setup",IF(SETUP!$B$7=0,$E56,$B56/(1-(SETUP!$B$6+SETUP!$B$5+SETUP!$B$7)))),"")</f>
        <v/>
      </c>
      <c r="G56" s="11" t="str">
        <f>IF(LOWER(SETUP!$B$3)="yes",IF($E56="","",$E56*(1+SETUP!$B$4)),"")</f>
        <v/>
      </c>
      <c r="H56" s="11" t="str">
        <f>IF(LOWER(SETUP!$B$3)="yes",IF($F56="","",$F56*(1+SETUP!$B$4)),"")</f>
        <v/>
      </c>
      <c r="I56" s="12" t="str">
        <f>IF($C56&gt;0,($C56-$B56-($C56*SETUP!$B$5))/$C56,"")</f>
        <v/>
      </c>
      <c r="J56" s="11" t="e">
        <f>IF($E56&gt;0,$E56-$B56-($E56*SETUP!$B$5),"")</f>
        <v>#VALUE!</v>
      </c>
      <c r="K56" s="13" t="str">
        <f t="shared" si="1"/>
        <v/>
      </c>
    </row>
    <row r="57" spans="1:11" x14ac:dyDescent="0.3">
      <c r="A57" s="9"/>
      <c r="B57" s="10"/>
      <c r="C57" s="10"/>
      <c r="D57" s="11" t="str">
        <f>IF($B57&gt;0,$B57/(1-SETUP!$B$5),"")</f>
        <v/>
      </c>
      <c r="E57" s="11" t="str">
        <f>IF($B57&gt;0,IF((1-(SETUP!$B$6+SETUP!$B$5))&lt;=0,"Check setup",$B57/(1-(SETUP!$B$6+SETUP!$B$5))),"")</f>
        <v/>
      </c>
      <c r="F57" s="11" t="str">
        <f>IF($B57&gt;0,IF((1-(SETUP!$B$6+SETUP!$B$5+SETUP!$B$7))&lt;=0,"Check setup",IF(SETUP!$B$7=0,$E57,$B57/(1-(SETUP!$B$6+SETUP!$B$5+SETUP!$B$7)))),"")</f>
        <v/>
      </c>
      <c r="G57" s="11" t="str">
        <f>IF(LOWER(SETUP!$B$3)="yes",IF($E57="","",$E57*(1+SETUP!$B$4)),"")</f>
        <v/>
      </c>
      <c r="H57" s="11" t="str">
        <f>IF(LOWER(SETUP!$B$3)="yes",IF($F57="","",$F57*(1+SETUP!$B$4)),"")</f>
        <v/>
      </c>
      <c r="I57" s="12" t="str">
        <f>IF($C57&gt;0,($C57-$B57-($C57*SETUP!$B$5))/$C57,"")</f>
        <v/>
      </c>
      <c r="J57" s="11" t="e">
        <f>IF($E57&gt;0,$E57-$B57-($E57*SETUP!$B$5),"")</f>
        <v>#VALUE!</v>
      </c>
      <c r="K57" s="13" t="str">
        <f t="shared" si="1"/>
        <v/>
      </c>
    </row>
    <row r="58" spans="1:11" x14ac:dyDescent="0.3">
      <c r="A58" s="9"/>
      <c r="B58" s="10"/>
      <c r="C58" s="10"/>
      <c r="D58" s="11" t="str">
        <f>IF($B58&gt;0,$B58/(1-SETUP!$B$5),"")</f>
        <v/>
      </c>
      <c r="E58" s="11" t="str">
        <f>IF($B58&gt;0,IF((1-(SETUP!$B$6+SETUP!$B$5))&lt;=0,"Check setup",$B58/(1-(SETUP!$B$6+SETUP!$B$5))),"")</f>
        <v/>
      </c>
      <c r="F58" s="11" t="str">
        <f>IF($B58&gt;0,IF((1-(SETUP!$B$6+SETUP!$B$5+SETUP!$B$7))&lt;=0,"Check setup",IF(SETUP!$B$7=0,$E58,$B58/(1-(SETUP!$B$6+SETUP!$B$5+SETUP!$B$7)))),"")</f>
        <v/>
      </c>
      <c r="G58" s="11" t="str">
        <f>IF(LOWER(SETUP!$B$3)="yes",IF($E58="","",$E58*(1+SETUP!$B$4)),"")</f>
        <v/>
      </c>
      <c r="H58" s="11" t="str">
        <f>IF(LOWER(SETUP!$B$3)="yes",IF($F58="","",$F58*(1+SETUP!$B$4)),"")</f>
        <v/>
      </c>
      <c r="I58" s="12" t="str">
        <f>IF($C58&gt;0,($C58-$B58-($C58*SETUP!$B$5))/$C58,"")</f>
        <v/>
      </c>
      <c r="J58" s="11" t="e">
        <f>IF($E58&gt;0,$E58-$B58-($E58*SETUP!$B$5),"")</f>
        <v>#VALUE!</v>
      </c>
      <c r="K58" s="13" t="str">
        <f t="shared" si="1"/>
        <v/>
      </c>
    </row>
    <row r="59" spans="1:11" x14ac:dyDescent="0.3">
      <c r="A59" s="9"/>
      <c r="B59" s="10"/>
      <c r="C59" s="10"/>
      <c r="D59" s="11" t="str">
        <f>IF($B59&gt;0,$B59/(1-SETUP!$B$5),"")</f>
        <v/>
      </c>
      <c r="E59" s="11" t="str">
        <f>IF($B59&gt;0,IF((1-(SETUP!$B$6+SETUP!$B$5))&lt;=0,"Check setup",$B59/(1-(SETUP!$B$6+SETUP!$B$5))),"")</f>
        <v/>
      </c>
      <c r="F59" s="11" t="str">
        <f>IF($B59&gt;0,IF((1-(SETUP!$B$6+SETUP!$B$5+SETUP!$B$7))&lt;=0,"Check setup",IF(SETUP!$B$7=0,$E59,$B59/(1-(SETUP!$B$6+SETUP!$B$5+SETUP!$B$7)))),"")</f>
        <v/>
      </c>
      <c r="G59" s="11" t="str">
        <f>IF(LOWER(SETUP!$B$3)="yes",IF($E59="","",$E59*(1+SETUP!$B$4)),"")</f>
        <v/>
      </c>
      <c r="H59" s="11" t="str">
        <f>IF(LOWER(SETUP!$B$3)="yes",IF($F59="","",$F59*(1+SETUP!$B$4)),"")</f>
        <v/>
      </c>
      <c r="I59" s="12" t="str">
        <f>IF($C59&gt;0,($C59-$B59-($C59*SETUP!$B$5))/$C59,"")</f>
        <v/>
      </c>
      <c r="J59" s="11" t="e">
        <f>IF($E59&gt;0,$E59-$B59-($E59*SETUP!$B$5),"")</f>
        <v>#VALUE!</v>
      </c>
      <c r="K59" s="13" t="str">
        <f t="shared" si="1"/>
        <v/>
      </c>
    </row>
    <row r="60" spans="1:11" x14ac:dyDescent="0.3">
      <c r="A60" s="9"/>
      <c r="B60" s="10"/>
      <c r="C60" s="10"/>
      <c r="D60" s="11" t="str">
        <f>IF($B60&gt;0,$B60/(1-SETUP!$B$5),"")</f>
        <v/>
      </c>
      <c r="E60" s="11" t="str">
        <f>IF($B60&gt;0,IF((1-(SETUP!$B$6+SETUP!$B$5))&lt;=0,"Check setup",$B60/(1-(SETUP!$B$6+SETUP!$B$5))),"")</f>
        <v/>
      </c>
      <c r="F60" s="11" t="str">
        <f>IF($B60&gt;0,IF((1-(SETUP!$B$6+SETUP!$B$5+SETUP!$B$7))&lt;=0,"Check setup",IF(SETUP!$B$7=0,$E60,$B60/(1-(SETUP!$B$6+SETUP!$B$5+SETUP!$B$7)))),"")</f>
        <v/>
      </c>
      <c r="G60" s="11" t="str">
        <f>IF(LOWER(SETUP!$B$3)="yes",IF($E60="","",$E60*(1+SETUP!$B$4)),"")</f>
        <v/>
      </c>
      <c r="H60" s="11" t="str">
        <f>IF(LOWER(SETUP!$B$3)="yes",IF($F60="","",$F60*(1+SETUP!$B$4)),"")</f>
        <v/>
      </c>
      <c r="I60" s="12" t="str">
        <f>IF($C60&gt;0,($C60-$B60-($C60*SETUP!$B$5))/$C60,"")</f>
        <v/>
      </c>
      <c r="J60" s="11" t="e">
        <f>IF($E60&gt;0,$E60-$B60-($E60*SETUP!$B$5),"")</f>
        <v>#VALUE!</v>
      </c>
      <c r="K60" s="13" t="str">
        <f t="shared" si="1"/>
        <v/>
      </c>
    </row>
    <row r="61" spans="1:11" x14ac:dyDescent="0.3">
      <c r="A61" s="9"/>
      <c r="B61" s="10"/>
      <c r="C61" s="10"/>
      <c r="D61" s="11" t="str">
        <f>IF($B61&gt;0,$B61/(1-SETUP!$B$5),"")</f>
        <v/>
      </c>
      <c r="E61" s="11" t="str">
        <f>IF($B61&gt;0,IF((1-(SETUP!$B$6+SETUP!$B$5))&lt;=0,"Check setup",$B61/(1-(SETUP!$B$6+SETUP!$B$5))),"")</f>
        <v/>
      </c>
      <c r="F61" s="11" t="str">
        <f>IF($B61&gt;0,IF((1-(SETUP!$B$6+SETUP!$B$5+SETUP!$B$7))&lt;=0,"Check setup",IF(SETUP!$B$7=0,$E61,$B61/(1-(SETUP!$B$6+SETUP!$B$5+SETUP!$B$7)))),"")</f>
        <v/>
      </c>
      <c r="G61" s="11" t="str">
        <f>IF(LOWER(SETUP!$B$3)="yes",IF($E61="","",$E61*(1+SETUP!$B$4)),"")</f>
        <v/>
      </c>
      <c r="H61" s="11" t="str">
        <f>IF(LOWER(SETUP!$B$3)="yes",IF($F61="","",$F61*(1+SETUP!$B$4)),"")</f>
        <v/>
      </c>
      <c r="I61" s="12" t="str">
        <f>IF($C61&gt;0,($C61-$B61-($C61*SETUP!$B$5))/$C61,"")</f>
        <v/>
      </c>
      <c r="J61" s="11" t="e">
        <f>IF($E61&gt;0,$E61-$B61-($E61*SETUP!$B$5),"")</f>
        <v>#VALUE!</v>
      </c>
      <c r="K61" s="13" t="str">
        <f t="shared" si="1"/>
        <v/>
      </c>
    </row>
    <row r="62" spans="1:11" x14ac:dyDescent="0.3">
      <c r="A62" s="9"/>
      <c r="B62" s="10"/>
      <c r="C62" s="10"/>
      <c r="D62" s="11" t="str">
        <f>IF($B62&gt;0,$B62/(1-SETUP!$B$5),"")</f>
        <v/>
      </c>
      <c r="E62" s="11" t="str">
        <f>IF($B62&gt;0,IF((1-(SETUP!$B$6+SETUP!$B$5))&lt;=0,"Check setup",$B62/(1-(SETUP!$B$6+SETUP!$B$5))),"")</f>
        <v/>
      </c>
      <c r="F62" s="11" t="str">
        <f>IF($B62&gt;0,IF((1-(SETUP!$B$6+SETUP!$B$5+SETUP!$B$7))&lt;=0,"Check setup",IF(SETUP!$B$7=0,$E62,$B62/(1-(SETUP!$B$6+SETUP!$B$5+SETUP!$B$7)))),"")</f>
        <v/>
      </c>
      <c r="G62" s="11" t="str">
        <f>IF(LOWER(SETUP!$B$3)="yes",IF($E62="","",$E62*(1+SETUP!$B$4)),"")</f>
        <v/>
      </c>
      <c r="H62" s="11" t="str">
        <f>IF(LOWER(SETUP!$B$3)="yes",IF($F62="","",$F62*(1+SETUP!$B$4)),"")</f>
        <v/>
      </c>
      <c r="I62" s="12" t="str">
        <f>IF($C62&gt;0,($C62-$B62-($C62*SETUP!$B$5))/$C62,"")</f>
        <v/>
      </c>
      <c r="J62" s="11" t="e">
        <f>IF($E62&gt;0,$E62-$B62-($E62*SETUP!$B$5),"")</f>
        <v>#VALUE!</v>
      </c>
      <c r="K62" s="13" t="str">
        <f t="shared" si="1"/>
        <v/>
      </c>
    </row>
    <row r="63" spans="1:11" x14ac:dyDescent="0.3">
      <c r="A63" s="9"/>
      <c r="B63" s="10"/>
      <c r="C63" s="10"/>
      <c r="D63" s="11" t="str">
        <f>IF($B63&gt;0,$B63/(1-SETUP!$B$5),"")</f>
        <v/>
      </c>
      <c r="E63" s="11" t="str">
        <f>IF($B63&gt;0,IF((1-(SETUP!$B$6+SETUP!$B$5))&lt;=0,"Check setup",$B63/(1-(SETUP!$B$6+SETUP!$B$5))),"")</f>
        <v/>
      </c>
      <c r="F63" s="11" t="str">
        <f>IF($B63&gt;0,IF((1-(SETUP!$B$6+SETUP!$B$5+SETUP!$B$7))&lt;=0,"Check setup",IF(SETUP!$B$7=0,$E63,$B63/(1-(SETUP!$B$6+SETUP!$B$5+SETUP!$B$7)))),"")</f>
        <v/>
      </c>
      <c r="G63" s="11" t="str">
        <f>IF(LOWER(SETUP!$B$3)="yes",IF($E63="","",$E63*(1+SETUP!$B$4)),"")</f>
        <v/>
      </c>
      <c r="H63" s="11" t="str">
        <f>IF(LOWER(SETUP!$B$3)="yes",IF($F63="","",$F63*(1+SETUP!$B$4)),"")</f>
        <v/>
      </c>
      <c r="I63" s="12" t="str">
        <f>IF($C63&gt;0,($C63-$B63-($C63*SETUP!$B$5))/$C63,"")</f>
        <v/>
      </c>
      <c r="J63" s="11" t="e">
        <f>IF($E63&gt;0,$E63-$B63-($E63*SETUP!$B$5),"")</f>
        <v>#VALUE!</v>
      </c>
      <c r="K63" s="13" t="str">
        <f t="shared" si="1"/>
        <v/>
      </c>
    </row>
    <row r="64" spans="1:11" x14ac:dyDescent="0.3">
      <c r="A64" s="9"/>
      <c r="B64" s="10"/>
      <c r="C64" s="10"/>
      <c r="D64" s="11" t="str">
        <f>IF($B64&gt;0,$B64/(1-SETUP!$B$5),"")</f>
        <v/>
      </c>
      <c r="E64" s="11" t="str">
        <f>IF($B64&gt;0,IF((1-(SETUP!$B$6+SETUP!$B$5))&lt;=0,"Check setup",$B64/(1-(SETUP!$B$6+SETUP!$B$5))),"")</f>
        <v/>
      </c>
      <c r="F64" s="11" t="str">
        <f>IF($B64&gt;0,IF((1-(SETUP!$B$6+SETUP!$B$5+SETUP!$B$7))&lt;=0,"Check setup",IF(SETUP!$B$7=0,$E64,$B64/(1-(SETUP!$B$6+SETUP!$B$5+SETUP!$B$7)))),"")</f>
        <v/>
      </c>
      <c r="G64" s="11" t="str">
        <f>IF(LOWER(SETUP!$B$3)="yes",IF($E64="","",$E64*(1+SETUP!$B$4)),"")</f>
        <v/>
      </c>
      <c r="H64" s="11" t="str">
        <f>IF(LOWER(SETUP!$B$3)="yes",IF($F64="","",$F64*(1+SETUP!$B$4)),"")</f>
        <v/>
      </c>
      <c r="I64" s="12" t="str">
        <f>IF($C64&gt;0,($C64-$B64-($C64*SETUP!$B$5))/$C64,"")</f>
        <v/>
      </c>
      <c r="J64" s="11" t="e">
        <f>IF($E64&gt;0,$E64-$B64-($E64*SETUP!$B$5),"")</f>
        <v>#VALUE!</v>
      </c>
      <c r="K64" s="13" t="str">
        <f t="shared" si="1"/>
        <v/>
      </c>
    </row>
    <row r="65" spans="1:11" x14ac:dyDescent="0.3">
      <c r="A65" s="9"/>
      <c r="B65" s="10"/>
      <c r="C65" s="10"/>
      <c r="D65" s="11" t="str">
        <f>IF($B65&gt;0,$B65/(1-SETUP!$B$5),"")</f>
        <v/>
      </c>
      <c r="E65" s="11" t="str">
        <f>IF($B65&gt;0,IF((1-(SETUP!$B$6+SETUP!$B$5))&lt;=0,"Check setup",$B65/(1-(SETUP!$B$6+SETUP!$B$5))),"")</f>
        <v/>
      </c>
      <c r="F65" s="11" t="str">
        <f>IF($B65&gt;0,IF((1-(SETUP!$B$6+SETUP!$B$5+SETUP!$B$7))&lt;=0,"Check setup",IF(SETUP!$B$7=0,$E65,$B65/(1-(SETUP!$B$6+SETUP!$B$5+SETUP!$B$7)))),"")</f>
        <v/>
      </c>
      <c r="G65" s="11" t="str">
        <f>IF(LOWER(SETUP!$B$3)="yes",IF($E65="","",$E65*(1+SETUP!$B$4)),"")</f>
        <v/>
      </c>
      <c r="H65" s="11" t="str">
        <f>IF(LOWER(SETUP!$B$3)="yes",IF($F65="","",$F65*(1+SETUP!$B$4)),"")</f>
        <v/>
      </c>
      <c r="I65" s="12" t="str">
        <f>IF($C65&gt;0,($C65-$B65-($C65*SETUP!$B$5))/$C65,"")</f>
        <v/>
      </c>
      <c r="J65" s="11" t="e">
        <f>IF($E65&gt;0,$E65-$B65-($E65*SETUP!$B$5),"")</f>
        <v>#VALUE!</v>
      </c>
      <c r="K65" s="13" t="str">
        <f t="shared" si="1"/>
        <v/>
      </c>
    </row>
    <row r="66" spans="1:11" x14ac:dyDescent="0.3">
      <c r="A66" s="9"/>
      <c r="B66" s="10"/>
      <c r="C66" s="10"/>
      <c r="D66" s="11" t="str">
        <f>IF($B66&gt;0,$B66/(1-SETUP!$B$5),"")</f>
        <v/>
      </c>
      <c r="E66" s="11" t="str">
        <f>IF($B66&gt;0,IF((1-(SETUP!$B$6+SETUP!$B$5))&lt;=0,"Check setup",$B66/(1-(SETUP!$B$6+SETUP!$B$5))),"")</f>
        <v/>
      </c>
      <c r="F66" s="11" t="str">
        <f>IF($B66&gt;0,IF((1-(SETUP!$B$6+SETUP!$B$5+SETUP!$B$7))&lt;=0,"Check setup",IF(SETUP!$B$7=0,$E66,$B66/(1-(SETUP!$B$6+SETUP!$B$5+SETUP!$B$7)))),"")</f>
        <v/>
      </c>
      <c r="G66" s="11" t="str">
        <f>IF(LOWER(SETUP!$B$3)="yes",IF($E66="","",$E66*(1+SETUP!$B$4)),"")</f>
        <v/>
      </c>
      <c r="H66" s="11" t="str">
        <f>IF(LOWER(SETUP!$B$3)="yes",IF($F66="","",$F66*(1+SETUP!$B$4)),"")</f>
        <v/>
      </c>
      <c r="I66" s="12" t="str">
        <f>IF($C66&gt;0,($C66-$B66-($C66*SETUP!$B$5))/$C66,"")</f>
        <v/>
      </c>
      <c r="J66" s="11" t="e">
        <f>IF($E66&gt;0,$E66-$B66-($E66*SETUP!$B$5),"")</f>
        <v>#VALUE!</v>
      </c>
      <c r="K66" s="13" t="str">
        <f t="shared" si="1"/>
        <v/>
      </c>
    </row>
    <row r="67" spans="1:11" x14ac:dyDescent="0.3">
      <c r="A67" s="9"/>
      <c r="B67" s="10"/>
      <c r="C67" s="10"/>
      <c r="D67" s="11" t="str">
        <f>IF($B67&gt;0,$B67/(1-SETUP!$B$5),"")</f>
        <v/>
      </c>
      <c r="E67" s="11" t="str">
        <f>IF($B67&gt;0,IF((1-(SETUP!$B$6+SETUP!$B$5))&lt;=0,"Check setup",$B67/(1-(SETUP!$B$6+SETUP!$B$5))),"")</f>
        <v/>
      </c>
      <c r="F67" s="11" t="str">
        <f>IF($B67&gt;0,IF((1-(SETUP!$B$6+SETUP!$B$5+SETUP!$B$7))&lt;=0,"Check setup",IF(SETUP!$B$7=0,$E67,$B67/(1-(SETUP!$B$6+SETUP!$B$5+SETUP!$B$7)))),"")</f>
        <v/>
      </c>
      <c r="G67" s="11" t="str">
        <f>IF(LOWER(SETUP!$B$3)="yes",IF($E67="","",$E67*(1+SETUP!$B$4)),"")</f>
        <v/>
      </c>
      <c r="H67" s="11" t="str">
        <f>IF(LOWER(SETUP!$B$3)="yes",IF($F67="","",$F67*(1+SETUP!$B$4)),"")</f>
        <v/>
      </c>
      <c r="I67" s="12" t="str">
        <f>IF($C67&gt;0,($C67-$B67-($C67*SETUP!$B$5))/$C67,"")</f>
        <v/>
      </c>
      <c r="J67" s="11" t="e">
        <f>IF($E67&gt;0,$E67-$B67-($E67*SETUP!$B$5),"")</f>
        <v>#VALUE!</v>
      </c>
      <c r="K67" s="13" t="str">
        <f t="shared" si="1"/>
        <v/>
      </c>
    </row>
    <row r="68" spans="1:11" x14ac:dyDescent="0.3">
      <c r="A68" s="9"/>
      <c r="B68" s="10"/>
      <c r="C68" s="10"/>
      <c r="D68" s="11" t="str">
        <f>IF($B68&gt;0,$B68/(1-SETUP!$B$5),"")</f>
        <v/>
      </c>
      <c r="E68" s="11" t="str">
        <f>IF($B68&gt;0,IF((1-(SETUP!$B$6+SETUP!$B$5))&lt;=0,"Check setup",$B68/(1-(SETUP!$B$6+SETUP!$B$5))),"")</f>
        <v/>
      </c>
      <c r="F68" s="11" t="str">
        <f>IF($B68&gt;0,IF((1-(SETUP!$B$6+SETUP!$B$5+SETUP!$B$7))&lt;=0,"Check setup",IF(SETUP!$B$7=0,$E68,$B68/(1-(SETUP!$B$6+SETUP!$B$5+SETUP!$B$7)))),"")</f>
        <v/>
      </c>
      <c r="G68" s="11" t="str">
        <f>IF(LOWER(SETUP!$B$3)="yes",IF($E68="","",$E68*(1+SETUP!$B$4)),"")</f>
        <v/>
      </c>
      <c r="H68" s="11" t="str">
        <f>IF(LOWER(SETUP!$B$3)="yes",IF($F68="","",$F68*(1+SETUP!$B$4)),"")</f>
        <v/>
      </c>
      <c r="I68" s="12" t="str">
        <f>IF($C68&gt;0,($C68-$B68-($C68*SETUP!$B$5))/$C68,"")</f>
        <v/>
      </c>
      <c r="J68" s="11" t="e">
        <f>IF($E68&gt;0,$E68-$B68-($E68*SETUP!$B$5),"")</f>
        <v>#VALUE!</v>
      </c>
      <c r="K68" s="13" t="str">
        <f t="shared" ref="K68:K99" si="2">IF($C68&gt;0,IF($C68&lt;$E68,"YES","NO"),"")</f>
        <v/>
      </c>
    </row>
    <row r="69" spans="1:11" x14ac:dyDescent="0.3">
      <c r="A69" s="9"/>
      <c r="B69" s="10"/>
      <c r="C69" s="10"/>
      <c r="D69" s="11" t="str">
        <f>IF($B69&gt;0,$B69/(1-SETUP!$B$5),"")</f>
        <v/>
      </c>
      <c r="E69" s="11" t="str">
        <f>IF($B69&gt;0,IF((1-(SETUP!$B$6+SETUP!$B$5))&lt;=0,"Check setup",$B69/(1-(SETUP!$B$6+SETUP!$B$5))),"")</f>
        <v/>
      </c>
      <c r="F69" s="11" t="str">
        <f>IF($B69&gt;0,IF((1-(SETUP!$B$6+SETUP!$B$5+SETUP!$B$7))&lt;=0,"Check setup",IF(SETUP!$B$7=0,$E69,$B69/(1-(SETUP!$B$6+SETUP!$B$5+SETUP!$B$7)))),"")</f>
        <v/>
      </c>
      <c r="G69" s="11" t="str">
        <f>IF(LOWER(SETUP!$B$3)="yes",IF($E69="","",$E69*(1+SETUP!$B$4)),"")</f>
        <v/>
      </c>
      <c r="H69" s="11" t="str">
        <f>IF(LOWER(SETUP!$B$3)="yes",IF($F69="","",$F69*(1+SETUP!$B$4)),"")</f>
        <v/>
      </c>
      <c r="I69" s="12" t="str">
        <f>IF($C69&gt;0,($C69-$B69-($C69*SETUP!$B$5))/$C69,"")</f>
        <v/>
      </c>
      <c r="J69" s="11" t="e">
        <f>IF($E69&gt;0,$E69-$B69-($E69*SETUP!$B$5),"")</f>
        <v>#VALUE!</v>
      </c>
      <c r="K69" s="13" t="str">
        <f t="shared" si="2"/>
        <v/>
      </c>
    </row>
    <row r="70" spans="1:11" x14ac:dyDescent="0.3">
      <c r="A70" s="9"/>
      <c r="B70" s="10"/>
      <c r="C70" s="10"/>
      <c r="D70" s="11" t="str">
        <f>IF($B70&gt;0,$B70/(1-SETUP!$B$5),"")</f>
        <v/>
      </c>
      <c r="E70" s="11" t="str">
        <f>IF($B70&gt;0,IF((1-(SETUP!$B$6+SETUP!$B$5))&lt;=0,"Check setup",$B70/(1-(SETUP!$B$6+SETUP!$B$5))),"")</f>
        <v/>
      </c>
      <c r="F70" s="11" t="str">
        <f>IF($B70&gt;0,IF((1-(SETUP!$B$6+SETUP!$B$5+SETUP!$B$7))&lt;=0,"Check setup",IF(SETUP!$B$7=0,$E70,$B70/(1-(SETUP!$B$6+SETUP!$B$5+SETUP!$B$7)))),"")</f>
        <v/>
      </c>
      <c r="G70" s="11" t="str">
        <f>IF(LOWER(SETUP!$B$3)="yes",IF($E70="","",$E70*(1+SETUP!$B$4)),"")</f>
        <v/>
      </c>
      <c r="H70" s="11" t="str">
        <f>IF(LOWER(SETUP!$B$3)="yes",IF($F70="","",$F70*(1+SETUP!$B$4)),"")</f>
        <v/>
      </c>
      <c r="I70" s="12" t="str">
        <f>IF($C70&gt;0,($C70-$B70-($C70*SETUP!$B$5))/$C70,"")</f>
        <v/>
      </c>
      <c r="J70" s="11" t="e">
        <f>IF($E70&gt;0,$E70-$B70-($E70*SETUP!$B$5),"")</f>
        <v>#VALUE!</v>
      </c>
      <c r="K70" s="13" t="str">
        <f t="shared" si="2"/>
        <v/>
      </c>
    </row>
    <row r="71" spans="1:11" x14ac:dyDescent="0.3">
      <c r="A71" s="9"/>
      <c r="B71" s="10"/>
      <c r="C71" s="10"/>
      <c r="D71" s="11" t="str">
        <f>IF($B71&gt;0,$B71/(1-SETUP!$B$5),"")</f>
        <v/>
      </c>
      <c r="E71" s="11" t="str">
        <f>IF($B71&gt;0,IF((1-(SETUP!$B$6+SETUP!$B$5))&lt;=0,"Check setup",$B71/(1-(SETUP!$B$6+SETUP!$B$5))),"")</f>
        <v/>
      </c>
      <c r="F71" s="11" t="str">
        <f>IF($B71&gt;0,IF((1-(SETUP!$B$6+SETUP!$B$5+SETUP!$B$7))&lt;=0,"Check setup",IF(SETUP!$B$7=0,$E71,$B71/(1-(SETUP!$B$6+SETUP!$B$5+SETUP!$B$7)))),"")</f>
        <v/>
      </c>
      <c r="G71" s="11" t="str">
        <f>IF(LOWER(SETUP!$B$3)="yes",IF($E71="","",$E71*(1+SETUP!$B$4)),"")</f>
        <v/>
      </c>
      <c r="H71" s="11" t="str">
        <f>IF(LOWER(SETUP!$B$3)="yes",IF($F71="","",$F71*(1+SETUP!$B$4)),"")</f>
        <v/>
      </c>
      <c r="I71" s="12" t="str">
        <f>IF($C71&gt;0,($C71-$B71-($C71*SETUP!$B$5))/$C71,"")</f>
        <v/>
      </c>
      <c r="J71" s="11" t="e">
        <f>IF($E71&gt;0,$E71-$B71-($E71*SETUP!$B$5),"")</f>
        <v>#VALUE!</v>
      </c>
      <c r="K71" s="13" t="str">
        <f t="shared" si="2"/>
        <v/>
      </c>
    </row>
    <row r="72" spans="1:11" x14ac:dyDescent="0.3">
      <c r="A72" s="9"/>
      <c r="B72" s="10"/>
      <c r="C72" s="10"/>
      <c r="D72" s="11" t="str">
        <f>IF($B72&gt;0,$B72/(1-SETUP!$B$5),"")</f>
        <v/>
      </c>
      <c r="E72" s="11" t="str">
        <f>IF($B72&gt;0,IF((1-(SETUP!$B$6+SETUP!$B$5))&lt;=0,"Check setup",$B72/(1-(SETUP!$B$6+SETUP!$B$5))),"")</f>
        <v/>
      </c>
      <c r="F72" s="11" t="str">
        <f>IF($B72&gt;0,IF((1-(SETUP!$B$6+SETUP!$B$5+SETUP!$B$7))&lt;=0,"Check setup",IF(SETUP!$B$7=0,$E72,$B72/(1-(SETUP!$B$6+SETUP!$B$5+SETUP!$B$7)))),"")</f>
        <v/>
      </c>
      <c r="G72" s="11" t="str">
        <f>IF(LOWER(SETUP!$B$3)="yes",IF($E72="","",$E72*(1+SETUP!$B$4)),"")</f>
        <v/>
      </c>
      <c r="H72" s="11" t="str">
        <f>IF(LOWER(SETUP!$B$3)="yes",IF($F72="","",$F72*(1+SETUP!$B$4)),"")</f>
        <v/>
      </c>
      <c r="I72" s="12" t="str">
        <f>IF($C72&gt;0,($C72-$B72-($C72*SETUP!$B$5))/$C72,"")</f>
        <v/>
      </c>
      <c r="J72" s="11" t="e">
        <f>IF($E72&gt;0,$E72-$B72-($E72*SETUP!$B$5),"")</f>
        <v>#VALUE!</v>
      </c>
      <c r="K72" s="13" t="str">
        <f t="shared" si="2"/>
        <v/>
      </c>
    </row>
    <row r="73" spans="1:11" x14ac:dyDescent="0.3">
      <c r="A73" s="9"/>
      <c r="B73" s="10"/>
      <c r="C73" s="10"/>
      <c r="D73" s="11" t="str">
        <f>IF($B73&gt;0,$B73/(1-SETUP!$B$5),"")</f>
        <v/>
      </c>
      <c r="E73" s="11" t="str">
        <f>IF($B73&gt;0,IF((1-(SETUP!$B$6+SETUP!$B$5))&lt;=0,"Check setup",$B73/(1-(SETUP!$B$6+SETUP!$B$5))),"")</f>
        <v/>
      </c>
      <c r="F73" s="11" t="str">
        <f>IF($B73&gt;0,IF((1-(SETUP!$B$6+SETUP!$B$5+SETUP!$B$7))&lt;=0,"Check setup",IF(SETUP!$B$7=0,$E73,$B73/(1-(SETUP!$B$6+SETUP!$B$5+SETUP!$B$7)))),"")</f>
        <v/>
      </c>
      <c r="G73" s="11" t="str">
        <f>IF(LOWER(SETUP!$B$3)="yes",IF($E73="","",$E73*(1+SETUP!$B$4)),"")</f>
        <v/>
      </c>
      <c r="H73" s="11" t="str">
        <f>IF(LOWER(SETUP!$B$3)="yes",IF($F73="","",$F73*(1+SETUP!$B$4)),"")</f>
        <v/>
      </c>
      <c r="I73" s="12" t="str">
        <f>IF($C73&gt;0,($C73-$B73-($C73*SETUP!$B$5))/$C73,"")</f>
        <v/>
      </c>
      <c r="J73" s="11" t="e">
        <f>IF($E73&gt;0,$E73-$B73-($E73*SETUP!$B$5),"")</f>
        <v>#VALUE!</v>
      </c>
      <c r="K73" s="13" t="str">
        <f t="shared" si="2"/>
        <v/>
      </c>
    </row>
    <row r="74" spans="1:11" x14ac:dyDescent="0.3">
      <c r="A74" s="9"/>
      <c r="B74" s="10"/>
      <c r="C74" s="10"/>
      <c r="D74" s="11" t="str">
        <f>IF($B74&gt;0,$B74/(1-SETUP!$B$5),"")</f>
        <v/>
      </c>
      <c r="E74" s="11" t="str">
        <f>IF($B74&gt;0,IF((1-(SETUP!$B$6+SETUP!$B$5))&lt;=0,"Check setup",$B74/(1-(SETUP!$B$6+SETUP!$B$5))),"")</f>
        <v/>
      </c>
      <c r="F74" s="11" t="str">
        <f>IF($B74&gt;0,IF((1-(SETUP!$B$6+SETUP!$B$5+SETUP!$B$7))&lt;=0,"Check setup",IF(SETUP!$B$7=0,$E74,$B74/(1-(SETUP!$B$6+SETUP!$B$5+SETUP!$B$7)))),"")</f>
        <v/>
      </c>
      <c r="G74" s="11" t="str">
        <f>IF(LOWER(SETUP!$B$3)="yes",IF($E74="","",$E74*(1+SETUP!$B$4)),"")</f>
        <v/>
      </c>
      <c r="H74" s="11" t="str">
        <f>IF(LOWER(SETUP!$B$3)="yes",IF($F74="","",$F74*(1+SETUP!$B$4)),"")</f>
        <v/>
      </c>
      <c r="I74" s="12" t="str">
        <f>IF($C74&gt;0,($C74-$B74-($C74*SETUP!$B$5))/$C74,"")</f>
        <v/>
      </c>
      <c r="J74" s="11" t="e">
        <f>IF($E74&gt;0,$E74-$B74-($E74*SETUP!$B$5),"")</f>
        <v>#VALUE!</v>
      </c>
      <c r="K74" s="13" t="str">
        <f t="shared" si="2"/>
        <v/>
      </c>
    </row>
    <row r="75" spans="1:11" x14ac:dyDescent="0.3">
      <c r="A75" s="9"/>
      <c r="B75" s="10"/>
      <c r="C75" s="10"/>
      <c r="D75" s="11" t="str">
        <f>IF($B75&gt;0,$B75/(1-SETUP!$B$5),"")</f>
        <v/>
      </c>
      <c r="E75" s="11" t="str">
        <f>IF($B75&gt;0,IF((1-(SETUP!$B$6+SETUP!$B$5))&lt;=0,"Check setup",$B75/(1-(SETUP!$B$6+SETUP!$B$5))),"")</f>
        <v/>
      </c>
      <c r="F75" s="11" t="str">
        <f>IF($B75&gt;0,IF((1-(SETUP!$B$6+SETUP!$B$5+SETUP!$B$7))&lt;=0,"Check setup",IF(SETUP!$B$7=0,$E75,$B75/(1-(SETUP!$B$6+SETUP!$B$5+SETUP!$B$7)))),"")</f>
        <v/>
      </c>
      <c r="G75" s="11" t="str">
        <f>IF(LOWER(SETUP!$B$3)="yes",IF($E75="","",$E75*(1+SETUP!$B$4)),"")</f>
        <v/>
      </c>
      <c r="H75" s="11" t="str">
        <f>IF(LOWER(SETUP!$B$3)="yes",IF($F75="","",$F75*(1+SETUP!$B$4)),"")</f>
        <v/>
      </c>
      <c r="I75" s="12" t="str">
        <f>IF($C75&gt;0,($C75-$B75-($C75*SETUP!$B$5))/$C75,"")</f>
        <v/>
      </c>
      <c r="J75" s="11" t="e">
        <f>IF($E75&gt;0,$E75-$B75-($E75*SETUP!$B$5),"")</f>
        <v>#VALUE!</v>
      </c>
      <c r="K75" s="13" t="str">
        <f t="shared" si="2"/>
        <v/>
      </c>
    </row>
    <row r="76" spans="1:11" x14ac:dyDescent="0.3">
      <c r="A76" s="9"/>
      <c r="B76" s="10"/>
      <c r="C76" s="10"/>
      <c r="D76" s="11" t="str">
        <f>IF($B76&gt;0,$B76/(1-SETUP!$B$5),"")</f>
        <v/>
      </c>
      <c r="E76" s="11" t="str">
        <f>IF($B76&gt;0,IF((1-(SETUP!$B$6+SETUP!$B$5))&lt;=0,"Check setup",$B76/(1-(SETUP!$B$6+SETUP!$B$5))),"")</f>
        <v/>
      </c>
      <c r="F76" s="11" t="str">
        <f>IF($B76&gt;0,IF((1-(SETUP!$B$6+SETUP!$B$5+SETUP!$B$7))&lt;=0,"Check setup",IF(SETUP!$B$7=0,$E76,$B76/(1-(SETUP!$B$6+SETUP!$B$5+SETUP!$B$7)))),"")</f>
        <v/>
      </c>
      <c r="G76" s="11" t="str">
        <f>IF(LOWER(SETUP!$B$3)="yes",IF($E76="","",$E76*(1+SETUP!$B$4)),"")</f>
        <v/>
      </c>
      <c r="H76" s="11" t="str">
        <f>IF(LOWER(SETUP!$B$3)="yes",IF($F76="","",$F76*(1+SETUP!$B$4)),"")</f>
        <v/>
      </c>
      <c r="I76" s="12" t="str">
        <f>IF($C76&gt;0,($C76-$B76-($C76*SETUP!$B$5))/$C76,"")</f>
        <v/>
      </c>
      <c r="J76" s="11" t="e">
        <f>IF($E76&gt;0,$E76-$B76-($E76*SETUP!$B$5),"")</f>
        <v>#VALUE!</v>
      </c>
      <c r="K76" s="13" t="str">
        <f t="shared" si="2"/>
        <v/>
      </c>
    </row>
    <row r="77" spans="1:11" x14ac:dyDescent="0.3">
      <c r="A77" s="9"/>
      <c r="B77" s="10"/>
      <c r="C77" s="10"/>
      <c r="D77" s="11" t="str">
        <f>IF($B77&gt;0,$B77/(1-SETUP!$B$5),"")</f>
        <v/>
      </c>
      <c r="E77" s="11" t="str">
        <f>IF($B77&gt;0,IF((1-(SETUP!$B$6+SETUP!$B$5))&lt;=0,"Check setup",$B77/(1-(SETUP!$B$6+SETUP!$B$5))),"")</f>
        <v/>
      </c>
      <c r="F77" s="11" t="str">
        <f>IF($B77&gt;0,IF((1-(SETUP!$B$6+SETUP!$B$5+SETUP!$B$7))&lt;=0,"Check setup",IF(SETUP!$B$7=0,$E77,$B77/(1-(SETUP!$B$6+SETUP!$B$5+SETUP!$B$7)))),"")</f>
        <v/>
      </c>
      <c r="G77" s="11" t="str">
        <f>IF(LOWER(SETUP!$B$3)="yes",IF($E77="","",$E77*(1+SETUP!$B$4)),"")</f>
        <v/>
      </c>
      <c r="H77" s="11" t="str">
        <f>IF(LOWER(SETUP!$B$3)="yes",IF($F77="","",$F77*(1+SETUP!$B$4)),"")</f>
        <v/>
      </c>
      <c r="I77" s="12" t="str">
        <f>IF($C77&gt;0,($C77-$B77-($C77*SETUP!$B$5))/$C77,"")</f>
        <v/>
      </c>
      <c r="J77" s="11" t="e">
        <f>IF($E77&gt;0,$E77-$B77-($E77*SETUP!$B$5),"")</f>
        <v>#VALUE!</v>
      </c>
      <c r="K77" s="13" t="str">
        <f t="shared" si="2"/>
        <v/>
      </c>
    </row>
    <row r="78" spans="1:11" x14ac:dyDescent="0.3">
      <c r="A78" s="9"/>
      <c r="B78" s="10"/>
      <c r="C78" s="10"/>
      <c r="D78" s="11" t="str">
        <f>IF($B78&gt;0,$B78/(1-SETUP!$B$5),"")</f>
        <v/>
      </c>
      <c r="E78" s="11" t="str">
        <f>IF($B78&gt;0,IF((1-(SETUP!$B$6+SETUP!$B$5))&lt;=0,"Check setup",$B78/(1-(SETUP!$B$6+SETUP!$B$5))),"")</f>
        <v/>
      </c>
      <c r="F78" s="11" t="str">
        <f>IF($B78&gt;0,IF((1-(SETUP!$B$6+SETUP!$B$5+SETUP!$B$7))&lt;=0,"Check setup",IF(SETUP!$B$7=0,$E78,$B78/(1-(SETUP!$B$6+SETUP!$B$5+SETUP!$B$7)))),"")</f>
        <v/>
      </c>
      <c r="G78" s="11" t="str">
        <f>IF(LOWER(SETUP!$B$3)="yes",IF($E78="","",$E78*(1+SETUP!$B$4)),"")</f>
        <v/>
      </c>
      <c r="H78" s="11" t="str">
        <f>IF(LOWER(SETUP!$B$3)="yes",IF($F78="","",$F78*(1+SETUP!$B$4)),"")</f>
        <v/>
      </c>
      <c r="I78" s="12" t="str">
        <f>IF($C78&gt;0,($C78-$B78-($C78*SETUP!$B$5))/$C78,"")</f>
        <v/>
      </c>
      <c r="J78" s="11" t="e">
        <f>IF($E78&gt;0,$E78-$B78-($E78*SETUP!$B$5),"")</f>
        <v>#VALUE!</v>
      </c>
      <c r="K78" s="13" t="str">
        <f t="shared" si="2"/>
        <v/>
      </c>
    </row>
    <row r="79" spans="1:11" x14ac:dyDescent="0.3">
      <c r="A79" s="9"/>
      <c r="B79" s="10"/>
      <c r="C79" s="10"/>
      <c r="D79" s="11" t="str">
        <f>IF($B79&gt;0,$B79/(1-SETUP!$B$5),"")</f>
        <v/>
      </c>
      <c r="E79" s="11" t="str">
        <f>IF($B79&gt;0,IF((1-(SETUP!$B$6+SETUP!$B$5))&lt;=0,"Check setup",$B79/(1-(SETUP!$B$6+SETUP!$B$5))),"")</f>
        <v/>
      </c>
      <c r="F79" s="11" t="str">
        <f>IF($B79&gt;0,IF((1-(SETUP!$B$6+SETUP!$B$5+SETUP!$B$7))&lt;=0,"Check setup",IF(SETUP!$B$7=0,$E79,$B79/(1-(SETUP!$B$6+SETUP!$B$5+SETUP!$B$7)))),"")</f>
        <v/>
      </c>
      <c r="G79" s="11" t="str">
        <f>IF(LOWER(SETUP!$B$3)="yes",IF($E79="","",$E79*(1+SETUP!$B$4)),"")</f>
        <v/>
      </c>
      <c r="H79" s="11" t="str">
        <f>IF(LOWER(SETUP!$B$3)="yes",IF($F79="","",$F79*(1+SETUP!$B$4)),"")</f>
        <v/>
      </c>
      <c r="I79" s="12" t="str">
        <f>IF($C79&gt;0,($C79-$B79-($C79*SETUP!$B$5))/$C79,"")</f>
        <v/>
      </c>
      <c r="J79" s="11" t="e">
        <f>IF($E79&gt;0,$E79-$B79-($E79*SETUP!$B$5),"")</f>
        <v>#VALUE!</v>
      </c>
      <c r="K79" s="13" t="str">
        <f t="shared" si="2"/>
        <v/>
      </c>
    </row>
    <row r="80" spans="1:11" x14ac:dyDescent="0.3">
      <c r="A80" s="9"/>
      <c r="B80" s="10"/>
      <c r="C80" s="10"/>
      <c r="D80" s="11" t="str">
        <f>IF($B80&gt;0,$B80/(1-SETUP!$B$5),"")</f>
        <v/>
      </c>
      <c r="E80" s="11" t="str">
        <f>IF($B80&gt;0,IF((1-(SETUP!$B$6+SETUP!$B$5))&lt;=0,"Check setup",$B80/(1-(SETUP!$B$6+SETUP!$B$5))),"")</f>
        <v/>
      </c>
      <c r="F80" s="11" t="str">
        <f>IF($B80&gt;0,IF((1-(SETUP!$B$6+SETUP!$B$5+SETUP!$B$7))&lt;=0,"Check setup",IF(SETUP!$B$7=0,$E80,$B80/(1-(SETUP!$B$6+SETUP!$B$5+SETUP!$B$7)))),"")</f>
        <v/>
      </c>
      <c r="G80" s="11" t="str">
        <f>IF(LOWER(SETUP!$B$3)="yes",IF($E80="","",$E80*(1+SETUP!$B$4)),"")</f>
        <v/>
      </c>
      <c r="H80" s="11" t="str">
        <f>IF(LOWER(SETUP!$B$3)="yes",IF($F80="","",$F80*(1+SETUP!$B$4)),"")</f>
        <v/>
      </c>
      <c r="I80" s="12" t="str">
        <f>IF($C80&gt;0,($C80-$B80-($C80*SETUP!$B$5))/$C80,"")</f>
        <v/>
      </c>
      <c r="J80" s="11" t="e">
        <f>IF($E80&gt;0,$E80-$B80-($E80*SETUP!$B$5),"")</f>
        <v>#VALUE!</v>
      </c>
      <c r="K80" s="13" t="str">
        <f t="shared" si="2"/>
        <v/>
      </c>
    </row>
    <row r="81" spans="1:11" x14ac:dyDescent="0.3">
      <c r="A81" s="9"/>
      <c r="B81" s="10"/>
      <c r="C81" s="10"/>
      <c r="D81" s="11" t="str">
        <f>IF($B81&gt;0,$B81/(1-SETUP!$B$5),"")</f>
        <v/>
      </c>
      <c r="E81" s="11" t="str">
        <f>IF($B81&gt;0,IF((1-(SETUP!$B$6+SETUP!$B$5))&lt;=0,"Check setup",$B81/(1-(SETUP!$B$6+SETUP!$B$5))),"")</f>
        <v/>
      </c>
      <c r="F81" s="11" t="str">
        <f>IF($B81&gt;0,IF((1-(SETUP!$B$6+SETUP!$B$5+SETUP!$B$7))&lt;=0,"Check setup",IF(SETUP!$B$7=0,$E81,$B81/(1-(SETUP!$B$6+SETUP!$B$5+SETUP!$B$7)))),"")</f>
        <v/>
      </c>
      <c r="G81" s="11" t="str">
        <f>IF(LOWER(SETUP!$B$3)="yes",IF($E81="","",$E81*(1+SETUP!$B$4)),"")</f>
        <v/>
      </c>
      <c r="H81" s="11" t="str">
        <f>IF(LOWER(SETUP!$B$3)="yes",IF($F81="","",$F81*(1+SETUP!$B$4)),"")</f>
        <v/>
      </c>
      <c r="I81" s="12" t="str">
        <f>IF($C81&gt;0,($C81-$B81-($C81*SETUP!$B$5))/$C81,"")</f>
        <v/>
      </c>
      <c r="J81" s="11" t="e">
        <f>IF($E81&gt;0,$E81-$B81-($E81*SETUP!$B$5),"")</f>
        <v>#VALUE!</v>
      </c>
      <c r="K81" s="13" t="str">
        <f t="shared" si="2"/>
        <v/>
      </c>
    </row>
    <row r="82" spans="1:11" x14ac:dyDescent="0.3">
      <c r="A82" s="9"/>
      <c r="B82" s="10"/>
      <c r="C82" s="10"/>
      <c r="D82" s="11" t="str">
        <f>IF($B82&gt;0,$B82/(1-SETUP!$B$5),"")</f>
        <v/>
      </c>
      <c r="E82" s="11" t="str">
        <f>IF($B82&gt;0,IF((1-(SETUP!$B$6+SETUP!$B$5))&lt;=0,"Check setup",$B82/(1-(SETUP!$B$6+SETUP!$B$5))),"")</f>
        <v/>
      </c>
      <c r="F82" s="11" t="str">
        <f>IF($B82&gt;0,IF((1-(SETUP!$B$6+SETUP!$B$5+SETUP!$B$7))&lt;=0,"Check setup",IF(SETUP!$B$7=0,$E82,$B82/(1-(SETUP!$B$6+SETUP!$B$5+SETUP!$B$7)))),"")</f>
        <v/>
      </c>
      <c r="G82" s="11" t="str">
        <f>IF(LOWER(SETUP!$B$3)="yes",IF($E82="","",$E82*(1+SETUP!$B$4)),"")</f>
        <v/>
      </c>
      <c r="H82" s="11" t="str">
        <f>IF(LOWER(SETUP!$B$3)="yes",IF($F82="","",$F82*(1+SETUP!$B$4)),"")</f>
        <v/>
      </c>
      <c r="I82" s="12" t="str">
        <f>IF($C82&gt;0,($C82-$B82-($C82*SETUP!$B$5))/$C82,"")</f>
        <v/>
      </c>
      <c r="J82" s="11" t="e">
        <f>IF($E82&gt;0,$E82-$B82-($E82*SETUP!$B$5),"")</f>
        <v>#VALUE!</v>
      </c>
      <c r="K82" s="13" t="str">
        <f t="shared" si="2"/>
        <v/>
      </c>
    </row>
    <row r="83" spans="1:11" x14ac:dyDescent="0.3">
      <c r="A83" s="9"/>
      <c r="B83" s="10"/>
      <c r="C83" s="10"/>
      <c r="D83" s="11" t="str">
        <f>IF($B83&gt;0,$B83/(1-SETUP!$B$5),"")</f>
        <v/>
      </c>
      <c r="E83" s="11" t="str">
        <f>IF($B83&gt;0,IF((1-(SETUP!$B$6+SETUP!$B$5))&lt;=0,"Check setup",$B83/(1-(SETUP!$B$6+SETUP!$B$5))),"")</f>
        <v/>
      </c>
      <c r="F83" s="11" t="str">
        <f>IF($B83&gt;0,IF((1-(SETUP!$B$6+SETUP!$B$5+SETUP!$B$7))&lt;=0,"Check setup",IF(SETUP!$B$7=0,$E83,$B83/(1-(SETUP!$B$6+SETUP!$B$5+SETUP!$B$7)))),"")</f>
        <v/>
      </c>
      <c r="G83" s="11" t="str">
        <f>IF(LOWER(SETUP!$B$3)="yes",IF($E83="","",$E83*(1+SETUP!$B$4)),"")</f>
        <v/>
      </c>
      <c r="H83" s="11" t="str">
        <f>IF(LOWER(SETUP!$B$3)="yes",IF($F83="","",$F83*(1+SETUP!$B$4)),"")</f>
        <v/>
      </c>
      <c r="I83" s="12" t="str">
        <f>IF($C83&gt;0,($C83-$B83-($C83*SETUP!$B$5))/$C83,"")</f>
        <v/>
      </c>
      <c r="J83" s="11" t="e">
        <f>IF($E83&gt;0,$E83-$B83-($E83*SETUP!$B$5),"")</f>
        <v>#VALUE!</v>
      </c>
      <c r="K83" s="13" t="str">
        <f t="shared" si="2"/>
        <v/>
      </c>
    </row>
    <row r="84" spans="1:11" x14ac:dyDescent="0.3">
      <c r="A84" s="9"/>
      <c r="B84" s="10"/>
      <c r="C84" s="10"/>
      <c r="D84" s="11" t="str">
        <f>IF($B84&gt;0,$B84/(1-SETUP!$B$5),"")</f>
        <v/>
      </c>
      <c r="E84" s="11" t="str">
        <f>IF($B84&gt;0,IF((1-(SETUP!$B$6+SETUP!$B$5))&lt;=0,"Check setup",$B84/(1-(SETUP!$B$6+SETUP!$B$5))),"")</f>
        <v/>
      </c>
      <c r="F84" s="11" t="str">
        <f>IF($B84&gt;0,IF((1-(SETUP!$B$6+SETUP!$B$5+SETUP!$B$7))&lt;=0,"Check setup",IF(SETUP!$B$7=0,$E84,$B84/(1-(SETUP!$B$6+SETUP!$B$5+SETUP!$B$7)))),"")</f>
        <v/>
      </c>
      <c r="G84" s="11" t="str">
        <f>IF(LOWER(SETUP!$B$3)="yes",IF($E84="","",$E84*(1+SETUP!$B$4)),"")</f>
        <v/>
      </c>
      <c r="H84" s="11" t="str">
        <f>IF(LOWER(SETUP!$B$3)="yes",IF($F84="","",$F84*(1+SETUP!$B$4)),"")</f>
        <v/>
      </c>
      <c r="I84" s="12" t="str">
        <f>IF($C84&gt;0,($C84-$B84-($C84*SETUP!$B$5))/$C84,"")</f>
        <v/>
      </c>
      <c r="J84" s="11" t="e">
        <f>IF($E84&gt;0,$E84-$B84-($E84*SETUP!$B$5),"")</f>
        <v>#VALUE!</v>
      </c>
      <c r="K84" s="13" t="str">
        <f t="shared" si="2"/>
        <v/>
      </c>
    </row>
    <row r="85" spans="1:11" x14ac:dyDescent="0.3">
      <c r="A85" s="9"/>
      <c r="B85" s="10"/>
      <c r="C85" s="10"/>
      <c r="D85" s="11" t="str">
        <f>IF($B85&gt;0,$B85/(1-SETUP!$B$5),"")</f>
        <v/>
      </c>
      <c r="E85" s="11" t="str">
        <f>IF($B85&gt;0,IF((1-(SETUP!$B$6+SETUP!$B$5))&lt;=0,"Check setup",$B85/(1-(SETUP!$B$6+SETUP!$B$5))),"")</f>
        <v/>
      </c>
      <c r="F85" s="11" t="str">
        <f>IF($B85&gt;0,IF((1-(SETUP!$B$6+SETUP!$B$5+SETUP!$B$7))&lt;=0,"Check setup",IF(SETUP!$B$7=0,$E85,$B85/(1-(SETUP!$B$6+SETUP!$B$5+SETUP!$B$7)))),"")</f>
        <v/>
      </c>
      <c r="G85" s="11" t="str">
        <f>IF(LOWER(SETUP!$B$3)="yes",IF($E85="","",$E85*(1+SETUP!$B$4)),"")</f>
        <v/>
      </c>
      <c r="H85" s="11" t="str">
        <f>IF(LOWER(SETUP!$B$3)="yes",IF($F85="","",$F85*(1+SETUP!$B$4)),"")</f>
        <v/>
      </c>
      <c r="I85" s="12" t="str">
        <f>IF($C85&gt;0,($C85-$B85-($C85*SETUP!$B$5))/$C85,"")</f>
        <v/>
      </c>
      <c r="J85" s="11" t="e">
        <f>IF($E85&gt;0,$E85-$B85-($E85*SETUP!$B$5),"")</f>
        <v>#VALUE!</v>
      </c>
      <c r="K85" s="13" t="str">
        <f t="shared" si="2"/>
        <v/>
      </c>
    </row>
    <row r="86" spans="1:11" x14ac:dyDescent="0.3">
      <c r="A86" s="9"/>
      <c r="B86" s="10"/>
      <c r="C86" s="10"/>
      <c r="D86" s="11" t="str">
        <f>IF($B86&gt;0,$B86/(1-SETUP!$B$5),"")</f>
        <v/>
      </c>
      <c r="E86" s="11" t="str">
        <f>IF($B86&gt;0,IF((1-(SETUP!$B$6+SETUP!$B$5))&lt;=0,"Check setup",$B86/(1-(SETUP!$B$6+SETUP!$B$5))),"")</f>
        <v/>
      </c>
      <c r="F86" s="11" t="str">
        <f>IF($B86&gt;0,IF((1-(SETUP!$B$6+SETUP!$B$5+SETUP!$B$7))&lt;=0,"Check setup",IF(SETUP!$B$7=0,$E86,$B86/(1-(SETUP!$B$6+SETUP!$B$5+SETUP!$B$7)))),"")</f>
        <v/>
      </c>
      <c r="G86" s="11" t="str">
        <f>IF(LOWER(SETUP!$B$3)="yes",IF($E86="","",$E86*(1+SETUP!$B$4)),"")</f>
        <v/>
      </c>
      <c r="H86" s="11" t="str">
        <f>IF(LOWER(SETUP!$B$3)="yes",IF($F86="","",$F86*(1+SETUP!$B$4)),"")</f>
        <v/>
      </c>
      <c r="I86" s="12" t="str">
        <f>IF($C86&gt;0,($C86-$B86-($C86*SETUP!$B$5))/$C86,"")</f>
        <v/>
      </c>
      <c r="J86" s="11" t="e">
        <f>IF($E86&gt;0,$E86-$B86-($E86*SETUP!$B$5),"")</f>
        <v>#VALUE!</v>
      </c>
      <c r="K86" s="13" t="str">
        <f t="shared" si="2"/>
        <v/>
      </c>
    </row>
    <row r="87" spans="1:11" x14ac:dyDescent="0.3">
      <c r="A87" s="9"/>
      <c r="B87" s="10"/>
      <c r="C87" s="10"/>
      <c r="D87" s="11" t="str">
        <f>IF($B87&gt;0,$B87/(1-SETUP!$B$5),"")</f>
        <v/>
      </c>
      <c r="E87" s="11" t="str">
        <f>IF($B87&gt;0,IF((1-(SETUP!$B$6+SETUP!$B$5))&lt;=0,"Check setup",$B87/(1-(SETUP!$B$6+SETUP!$B$5))),"")</f>
        <v/>
      </c>
      <c r="F87" s="11" t="str">
        <f>IF($B87&gt;0,IF((1-(SETUP!$B$6+SETUP!$B$5+SETUP!$B$7))&lt;=0,"Check setup",IF(SETUP!$B$7=0,$E87,$B87/(1-(SETUP!$B$6+SETUP!$B$5+SETUP!$B$7)))),"")</f>
        <v/>
      </c>
      <c r="G87" s="11" t="str">
        <f>IF(LOWER(SETUP!$B$3)="yes",IF($E87="","",$E87*(1+SETUP!$B$4)),"")</f>
        <v/>
      </c>
      <c r="H87" s="11" t="str">
        <f>IF(LOWER(SETUP!$B$3)="yes",IF($F87="","",$F87*(1+SETUP!$B$4)),"")</f>
        <v/>
      </c>
      <c r="I87" s="12" t="str">
        <f>IF($C87&gt;0,($C87-$B87-($C87*SETUP!$B$5))/$C87,"")</f>
        <v/>
      </c>
      <c r="J87" s="11" t="e">
        <f>IF($E87&gt;0,$E87-$B87-($E87*SETUP!$B$5),"")</f>
        <v>#VALUE!</v>
      </c>
      <c r="K87" s="13" t="str">
        <f t="shared" si="2"/>
        <v/>
      </c>
    </row>
    <row r="88" spans="1:11" x14ac:dyDescent="0.3">
      <c r="A88" s="9"/>
      <c r="B88" s="10"/>
      <c r="C88" s="10"/>
      <c r="D88" s="11" t="str">
        <f>IF($B88&gt;0,$B88/(1-SETUP!$B$5),"")</f>
        <v/>
      </c>
      <c r="E88" s="11" t="str">
        <f>IF($B88&gt;0,IF((1-(SETUP!$B$6+SETUP!$B$5))&lt;=0,"Check setup",$B88/(1-(SETUP!$B$6+SETUP!$B$5))),"")</f>
        <v/>
      </c>
      <c r="F88" s="11" t="str">
        <f>IF($B88&gt;0,IF((1-(SETUP!$B$6+SETUP!$B$5+SETUP!$B$7))&lt;=0,"Check setup",IF(SETUP!$B$7=0,$E88,$B88/(1-(SETUP!$B$6+SETUP!$B$5+SETUP!$B$7)))),"")</f>
        <v/>
      </c>
      <c r="G88" s="11" t="str">
        <f>IF(LOWER(SETUP!$B$3)="yes",IF($E88="","",$E88*(1+SETUP!$B$4)),"")</f>
        <v/>
      </c>
      <c r="H88" s="11" t="str">
        <f>IF(LOWER(SETUP!$B$3)="yes",IF($F88="","",$F88*(1+SETUP!$B$4)),"")</f>
        <v/>
      </c>
      <c r="I88" s="12" t="str">
        <f>IF($C88&gt;0,($C88-$B88-($C88*SETUP!$B$5))/$C88,"")</f>
        <v/>
      </c>
      <c r="J88" s="11" t="e">
        <f>IF($E88&gt;0,$E88-$B88-($E88*SETUP!$B$5),"")</f>
        <v>#VALUE!</v>
      </c>
      <c r="K88" s="13" t="str">
        <f t="shared" si="2"/>
        <v/>
      </c>
    </row>
    <row r="89" spans="1:11" x14ac:dyDescent="0.3">
      <c r="A89" s="9"/>
      <c r="B89" s="10"/>
      <c r="C89" s="10"/>
      <c r="D89" s="11" t="str">
        <f>IF($B89&gt;0,$B89/(1-SETUP!$B$5),"")</f>
        <v/>
      </c>
      <c r="E89" s="11" t="str">
        <f>IF($B89&gt;0,IF((1-(SETUP!$B$6+SETUP!$B$5))&lt;=0,"Check setup",$B89/(1-(SETUP!$B$6+SETUP!$B$5))),"")</f>
        <v/>
      </c>
      <c r="F89" s="11" t="str">
        <f>IF($B89&gt;0,IF((1-(SETUP!$B$6+SETUP!$B$5+SETUP!$B$7))&lt;=0,"Check setup",IF(SETUP!$B$7=0,$E89,$B89/(1-(SETUP!$B$6+SETUP!$B$5+SETUP!$B$7)))),"")</f>
        <v/>
      </c>
      <c r="G89" s="11" t="str">
        <f>IF(LOWER(SETUP!$B$3)="yes",IF($E89="","",$E89*(1+SETUP!$B$4)),"")</f>
        <v/>
      </c>
      <c r="H89" s="11" t="str">
        <f>IF(LOWER(SETUP!$B$3)="yes",IF($F89="","",$F89*(1+SETUP!$B$4)),"")</f>
        <v/>
      </c>
      <c r="I89" s="12" t="str">
        <f>IF($C89&gt;0,($C89-$B89-($C89*SETUP!$B$5))/$C89,"")</f>
        <v/>
      </c>
      <c r="J89" s="11" t="e">
        <f>IF($E89&gt;0,$E89-$B89-($E89*SETUP!$B$5),"")</f>
        <v>#VALUE!</v>
      </c>
      <c r="K89" s="13" t="str">
        <f t="shared" si="2"/>
        <v/>
      </c>
    </row>
    <row r="90" spans="1:11" x14ac:dyDescent="0.3">
      <c r="A90" s="9"/>
      <c r="B90" s="10"/>
      <c r="C90" s="10"/>
      <c r="D90" s="11" t="str">
        <f>IF($B90&gt;0,$B90/(1-SETUP!$B$5),"")</f>
        <v/>
      </c>
      <c r="E90" s="11" t="str">
        <f>IF($B90&gt;0,IF((1-(SETUP!$B$6+SETUP!$B$5))&lt;=0,"Check setup",$B90/(1-(SETUP!$B$6+SETUP!$B$5))),"")</f>
        <v/>
      </c>
      <c r="F90" s="11" t="str">
        <f>IF($B90&gt;0,IF((1-(SETUP!$B$6+SETUP!$B$5+SETUP!$B$7))&lt;=0,"Check setup",IF(SETUP!$B$7=0,$E90,$B90/(1-(SETUP!$B$6+SETUP!$B$5+SETUP!$B$7)))),"")</f>
        <v/>
      </c>
      <c r="G90" s="11" t="str">
        <f>IF(LOWER(SETUP!$B$3)="yes",IF($E90="","",$E90*(1+SETUP!$B$4)),"")</f>
        <v/>
      </c>
      <c r="H90" s="11" t="str">
        <f>IF(LOWER(SETUP!$B$3)="yes",IF($F90="","",$F90*(1+SETUP!$B$4)),"")</f>
        <v/>
      </c>
      <c r="I90" s="12" t="str">
        <f>IF($C90&gt;0,($C90-$B90-($C90*SETUP!$B$5))/$C90,"")</f>
        <v/>
      </c>
      <c r="J90" s="11" t="e">
        <f>IF($E90&gt;0,$E90-$B90-($E90*SETUP!$B$5),"")</f>
        <v>#VALUE!</v>
      </c>
      <c r="K90" s="13" t="str">
        <f t="shared" si="2"/>
        <v/>
      </c>
    </row>
    <row r="91" spans="1:11" x14ac:dyDescent="0.3">
      <c r="A91" s="9"/>
      <c r="B91" s="10"/>
      <c r="C91" s="10"/>
      <c r="D91" s="11" t="str">
        <f>IF($B91&gt;0,$B91/(1-SETUP!$B$5),"")</f>
        <v/>
      </c>
      <c r="E91" s="11" t="str">
        <f>IF($B91&gt;0,IF((1-(SETUP!$B$6+SETUP!$B$5))&lt;=0,"Check setup",$B91/(1-(SETUP!$B$6+SETUP!$B$5))),"")</f>
        <v/>
      </c>
      <c r="F91" s="11" t="str">
        <f>IF($B91&gt;0,IF((1-(SETUP!$B$6+SETUP!$B$5+SETUP!$B$7))&lt;=0,"Check setup",IF(SETUP!$B$7=0,$E91,$B91/(1-(SETUP!$B$6+SETUP!$B$5+SETUP!$B$7)))),"")</f>
        <v/>
      </c>
      <c r="G91" s="11" t="str">
        <f>IF(LOWER(SETUP!$B$3)="yes",IF($E91="","",$E91*(1+SETUP!$B$4)),"")</f>
        <v/>
      </c>
      <c r="H91" s="11" t="str">
        <f>IF(LOWER(SETUP!$B$3)="yes",IF($F91="","",$F91*(1+SETUP!$B$4)),"")</f>
        <v/>
      </c>
      <c r="I91" s="12" t="str">
        <f>IF($C91&gt;0,($C91-$B91-($C91*SETUP!$B$5))/$C91,"")</f>
        <v/>
      </c>
      <c r="J91" s="11" t="e">
        <f>IF($E91&gt;0,$E91-$B91-($E91*SETUP!$B$5),"")</f>
        <v>#VALUE!</v>
      </c>
      <c r="K91" s="13" t="str">
        <f t="shared" si="2"/>
        <v/>
      </c>
    </row>
    <row r="92" spans="1:11" x14ac:dyDescent="0.3">
      <c r="A92" s="9"/>
      <c r="B92" s="10"/>
      <c r="C92" s="10"/>
      <c r="D92" s="11" t="str">
        <f>IF($B92&gt;0,$B92/(1-SETUP!$B$5),"")</f>
        <v/>
      </c>
      <c r="E92" s="11" t="str">
        <f>IF($B92&gt;0,IF((1-(SETUP!$B$6+SETUP!$B$5))&lt;=0,"Check setup",$B92/(1-(SETUP!$B$6+SETUP!$B$5))),"")</f>
        <v/>
      </c>
      <c r="F92" s="11" t="str">
        <f>IF($B92&gt;0,IF((1-(SETUP!$B$6+SETUP!$B$5+SETUP!$B$7))&lt;=0,"Check setup",IF(SETUP!$B$7=0,$E92,$B92/(1-(SETUP!$B$6+SETUP!$B$5+SETUP!$B$7)))),"")</f>
        <v/>
      </c>
      <c r="G92" s="11" t="str">
        <f>IF(LOWER(SETUP!$B$3)="yes",IF($E92="","",$E92*(1+SETUP!$B$4)),"")</f>
        <v/>
      </c>
      <c r="H92" s="11" t="str">
        <f>IF(LOWER(SETUP!$B$3)="yes",IF($F92="","",$F92*(1+SETUP!$B$4)),"")</f>
        <v/>
      </c>
      <c r="I92" s="12" t="str">
        <f>IF($C92&gt;0,($C92-$B92-($C92*SETUP!$B$5))/$C92,"")</f>
        <v/>
      </c>
      <c r="J92" s="11" t="e">
        <f>IF($E92&gt;0,$E92-$B92-($E92*SETUP!$B$5),"")</f>
        <v>#VALUE!</v>
      </c>
      <c r="K92" s="13" t="str">
        <f t="shared" si="2"/>
        <v/>
      </c>
    </row>
    <row r="93" spans="1:11" x14ac:dyDescent="0.3">
      <c r="A93" s="9"/>
      <c r="B93" s="10"/>
      <c r="C93" s="10"/>
      <c r="D93" s="11" t="str">
        <f>IF($B93&gt;0,$B93/(1-SETUP!$B$5),"")</f>
        <v/>
      </c>
      <c r="E93" s="11" t="str">
        <f>IF($B93&gt;0,IF((1-(SETUP!$B$6+SETUP!$B$5))&lt;=0,"Check setup",$B93/(1-(SETUP!$B$6+SETUP!$B$5))),"")</f>
        <v/>
      </c>
      <c r="F93" s="11" t="str">
        <f>IF($B93&gt;0,IF((1-(SETUP!$B$6+SETUP!$B$5+SETUP!$B$7))&lt;=0,"Check setup",IF(SETUP!$B$7=0,$E93,$B93/(1-(SETUP!$B$6+SETUP!$B$5+SETUP!$B$7)))),"")</f>
        <v/>
      </c>
      <c r="G93" s="11" t="str">
        <f>IF(LOWER(SETUP!$B$3)="yes",IF($E93="","",$E93*(1+SETUP!$B$4)),"")</f>
        <v/>
      </c>
      <c r="H93" s="11" t="str">
        <f>IF(LOWER(SETUP!$B$3)="yes",IF($F93="","",$F93*(1+SETUP!$B$4)),"")</f>
        <v/>
      </c>
      <c r="I93" s="12" t="str">
        <f>IF($C93&gt;0,($C93-$B93-($C93*SETUP!$B$5))/$C93,"")</f>
        <v/>
      </c>
      <c r="J93" s="11" t="e">
        <f>IF($E93&gt;0,$E93-$B93-($E93*SETUP!$B$5),"")</f>
        <v>#VALUE!</v>
      </c>
      <c r="K93" s="13" t="str">
        <f t="shared" si="2"/>
        <v/>
      </c>
    </row>
    <row r="94" spans="1:11" x14ac:dyDescent="0.3">
      <c r="A94" s="9"/>
      <c r="B94" s="10"/>
      <c r="C94" s="10"/>
      <c r="D94" s="11" t="str">
        <f>IF($B94&gt;0,$B94/(1-SETUP!$B$5),"")</f>
        <v/>
      </c>
      <c r="E94" s="11" t="str">
        <f>IF($B94&gt;0,IF((1-(SETUP!$B$6+SETUP!$B$5))&lt;=0,"Check setup",$B94/(1-(SETUP!$B$6+SETUP!$B$5))),"")</f>
        <v/>
      </c>
      <c r="F94" s="11" t="str">
        <f>IF($B94&gt;0,IF((1-(SETUP!$B$6+SETUP!$B$5+SETUP!$B$7))&lt;=0,"Check setup",IF(SETUP!$B$7=0,$E94,$B94/(1-(SETUP!$B$6+SETUP!$B$5+SETUP!$B$7)))),"")</f>
        <v/>
      </c>
      <c r="G94" s="11" t="str">
        <f>IF(LOWER(SETUP!$B$3)="yes",IF($E94="","",$E94*(1+SETUP!$B$4)),"")</f>
        <v/>
      </c>
      <c r="H94" s="11" t="str">
        <f>IF(LOWER(SETUP!$B$3)="yes",IF($F94="","",$F94*(1+SETUP!$B$4)),"")</f>
        <v/>
      </c>
      <c r="I94" s="12" t="str">
        <f>IF($C94&gt;0,($C94-$B94-($C94*SETUP!$B$5))/$C94,"")</f>
        <v/>
      </c>
      <c r="J94" s="11" t="e">
        <f>IF($E94&gt;0,$E94-$B94-($E94*SETUP!$B$5),"")</f>
        <v>#VALUE!</v>
      </c>
      <c r="K94" s="13" t="str">
        <f t="shared" si="2"/>
        <v/>
      </c>
    </row>
    <row r="95" spans="1:11" x14ac:dyDescent="0.3">
      <c r="A95" s="9"/>
      <c r="B95" s="10"/>
      <c r="C95" s="10"/>
      <c r="D95" s="11" t="str">
        <f>IF($B95&gt;0,$B95/(1-SETUP!$B$5),"")</f>
        <v/>
      </c>
      <c r="E95" s="11" t="str">
        <f>IF($B95&gt;0,IF((1-(SETUP!$B$6+SETUP!$B$5))&lt;=0,"Check setup",$B95/(1-(SETUP!$B$6+SETUP!$B$5))),"")</f>
        <v/>
      </c>
      <c r="F95" s="11" t="str">
        <f>IF($B95&gt;0,IF((1-(SETUP!$B$6+SETUP!$B$5+SETUP!$B$7))&lt;=0,"Check setup",IF(SETUP!$B$7=0,$E95,$B95/(1-(SETUP!$B$6+SETUP!$B$5+SETUP!$B$7)))),"")</f>
        <v/>
      </c>
      <c r="G95" s="11" t="str">
        <f>IF(LOWER(SETUP!$B$3)="yes",IF($E95="","",$E95*(1+SETUP!$B$4)),"")</f>
        <v/>
      </c>
      <c r="H95" s="11" t="str">
        <f>IF(LOWER(SETUP!$B$3)="yes",IF($F95="","",$F95*(1+SETUP!$B$4)),"")</f>
        <v/>
      </c>
      <c r="I95" s="12" t="str">
        <f>IF($C95&gt;0,($C95-$B95-($C95*SETUP!$B$5))/$C95,"")</f>
        <v/>
      </c>
      <c r="J95" s="11" t="e">
        <f>IF($E95&gt;0,$E95-$B95-($E95*SETUP!$B$5),"")</f>
        <v>#VALUE!</v>
      </c>
      <c r="K95" s="13" t="str">
        <f t="shared" si="2"/>
        <v/>
      </c>
    </row>
    <row r="96" spans="1:11" x14ac:dyDescent="0.3">
      <c r="A96" s="9"/>
      <c r="B96" s="10"/>
      <c r="C96" s="10"/>
      <c r="D96" s="11" t="str">
        <f>IF($B96&gt;0,$B96/(1-SETUP!$B$5),"")</f>
        <v/>
      </c>
      <c r="E96" s="11" t="str">
        <f>IF($B96&gt;0,IF((1-(SETUP!$B$6+SETUP!$B$5))&lt;=0,"Check setup",$B96/(1-(SETUP!$B$6+SETUP!$B$5))),"")</f>
        <v/>
      </c>
      <c r="F96" s="11" t="str">
        <f>IF($B96&gt;0,IF((1-(SETUP!$B$6+SETUP!$B$5+SETUP!$B$7))&lt;=0,"Check setup",IF(SETUP!$B$7=0,$E96,$B96/(1-(SETUP!$B$6+SETUP!$B$5+SETUP!$B$7)))),"")</f>
        <v/>
      </c>
      <c r="G96" s="11" t="str">
        <f>IF(LOWER(SETUP!$B$3)="yes",IF($E96="","",$E96*(1+SETUP!$B$4)),"")</f>
        <v/>
      </c>
      <c r="H96" s="11" t="str">
        <f>IF(LOWER(SETUP!$B$3)="yes",IF($F96="","",$F96*(1+SETUP!$B$4)),"")</f>
        <v/>
      </c>
      <c r="I96" s="12" t="str">
        <f>IF($C96&gt;0,($C96-$B96-($C96*SETUP!$B$5))/$C96,"")</f>
        <v/>
      </c>
      <c r="J96" s="11" t="e">
        <f>IF($E96&gt;0,$E96-$B96-($E96*SETUP!$B$5),"")</f>
        <v>#VALUE!</v>
      </c>
      <c r="K96" s="13" t="str">
        <f t="shared" si="2"/>
        <v/>
      </c>
    </row>
    <row r="97" spans="1:11" x14ac:dyDescent="0.3">
      <c r="A97" s="9"/>
      <c r="B97" s="10"/>
      <c r="C97" s="10"/>
      <c r="D97" s="11" t="str">
        <f>IF($B97&gt;0,$B97/(1-SETUP!$B$5),"")</f>
        <v/>
      </c>
      <c r="E97" s="11" t="str">
        <f>IF($B97&gt;0,IF((1-(SETUP!$B$6+SETUP!$B$5))&lt;=0,"Check setup",$B97/(1-(SETUP!$B$6+SETUP!$B$5))),"")</f>
        <v/>
      </c>
      <c r="F97" s="11" t="str">
        <f>IF($B97&gt;0,IF((1-(SETUP!$B$6+SETUP!$B$5+SETUP!$B$7))&lt;=0,"Check setup",IF(SETUP!$B$7=0,$E97,$B97/(1-(SETUP!$B$6+SETUP!$B$5+SETUP!$B$7)))),"")</f>
        <v/>
      </c>
      <c r="G97" s="11" t="str">
        <f>IF(LOWER(SETUP!$B$3)="yes",IF($E97="","",$E97*(1+SETUP!$B$4)),"")</f>
        <v/>
      </c>
      <c r="H97" s="11" t="str">
        <f>IF(LOWER(SETUP!$B$3)="yes",IF($F97="","",$F97*(1+SETUP!$B$4)),"")</f>
        <v/>
      </c>
      <c r="I97" s="12" t="str">
        <f>IF($C97&gt;0,($C97-$B97-($C97*SETUP!$B$5))/$C97,"")</f>
        <v/>
      </c>
      <c r="J97" s="11" t="e">
        <f>IF($E97&gt;0,$E97-$B97-($E97*SETUP!$B$5),"")</f>
        <v>#VALUE!</v>
      </c>
      <c r="K97" s="13" t="str">
        <f t="shared" si="2"/>
        <v/>
      </c>
    </row>
    <row r="98" spans="1:11" x14ac:dyDescent="0.3">
      <c r="A98" s="9"/>
      <c r="B98" s="10"/>
      <c r="C98" s="10"/>
      <c r="D98" s="11" t="str">
        <f>IF($B98&gt;0,$B98/(1-SETUP!$B$5),"")</f>
        <v/>
      </c>
      <c r="E98" s="11" t="str">
        <f>IF($B98&gt;0,IF((1-(SETUP!$B$6+SETUP!$B$5))&lt;=0,"Check setup",$B98/(1-(SETUP!$B$6+SETUP!$B$5))),"")</f>
        <v/>
      </c>
      <c r="F98" s="11" t="str">
        <f>IF($B98&gt;0,IF((1-(SETUP!$B$6+SETUP!$B$5+SETUP!$B$7))&lt;=0,"Check setup",IF(SETUP!$B$7=0,$E98,$B98/(1-(SETUP!$B$6+SETUP!$B$5+SETUP!$B$7)))),"")</f>
        <v/>
      </c>
      <c r="G98" s="11" t="str">
        <f>IF(LOWER(SETUP!$B$3)="yes",IF($E98="","",$E98*(1+SETUP!$B$4)),"")</f>
        <v/>
      </c>
      <c r="H98" s="11" t="str">
        <f>IF(LOWER(SETUP!$B$3)="yes",IF($F98="","",$F98*(1+SETUP!$B$4)),"")</f>
        <v/>
      </c>
      <c r="I98" s="12" t="str">
        <f>IF($C98&gt;0,($C98-$B98-($C98*SETUP!$B$5))/$C98,"")</f>
        <v/>
      </c>
      <c r="J98" s="11" t="e">
        <f>IF($E98&gt;0,$E98-$B98-($E98*SETUP!$B$5),"")</f>
        <v>#VALUE!</v>
      </c>
      <c r="K98" s="13" t="str">
        <f t="shared" si="2"/>
        <v/>
      </c>
    </row>
    <row r="99" spans="1:11" x14ac:dyDescent="0.3">
      <c r="A99" s="9"/>
      <c r="B99" s="10"/>
      <c r="C99" s="10"/>
      <c r="D99" s="11" t="str">
        <f>IF($B99&gt;0,$B99/(1-SETUP!$B$5),"")</f>
        <v/>
      </c>
      <c r="E99" s="11" t="str">
        <f>IF($B99&gt;0,IF((1-(SETUP!$B$6+SETUP!$B$5))&lt;=0,"Check setup",$B99/(1-(SETUP!$B$6+SETUP!$B$5))),"")</f>
        <v/>
      </c>
      <c r="F99" s="11" t="str">
        <f>IF($B99&gt;0,IF((1-(SETUP!$B$6+SETUP!$B$5+SETUP!$B$7))&lt;=0,"Check setup",IF(SETUP!$B$7=0,$E99,$B99/(1-(SETUP!$B$6+SETUP!$B$5+SETUP!$B$7)))),"")</f>
        <v/>
      </c>
      <c r="G99" s="11" t="str">
        <f>IF(LOWER(SETUP!$B$3)="yes",IF($E99="","",$E99*(1+SETUP!$B$4)),"")</f>
        <v/>
      </c>
      <c r="H99" s="11" t="str">
        <f>IF(LOWER(SETUP!$B$3)="yes",IF($F99="","",$F99*(1+SETUP!$B$4)),"")</f>
        <v/>
      </c>
      <c r="I99" s="12" t="str">
        <f>IF($C99&gt;0,($C99-$B99-($C99*SETUP!$B$5))/$C99,"")</f>
        <v/>
      </c>
      <c r="J99" s="11" t="e">
        <f>IF($E99&gt;0,$E99-$B99-($E99*SETUP!$B$5),"")</f>
        <v>#VALUE!</v>
      </c>
      <c r="K99" s="13" t="str">
        <f t="shared" si="2"/>
        <v/>
      </c>
    </row>
    <row r="100" spans="1:11" x14ac:dyDescent="0.3">
      <c r="A100" s="9"/>
      <c r="B100" s="10"/>
      <c r="C100" s="10"/>
      <c r="D100" s="11" t="str">
        <f>IF($B100&gt;0,$B100/(1-SETUP!$B$5),"")</f>
        <v/>
      </c>
      <c r="E100" s="11" t="str">
        <f>IF($B100&gt;0,IF((1-(SETUP!$B$6+SETUP!$B$5))&lt;=0,"Check setup",$B100/(1-(SETUP!$B$6+SETUP!$B$5))),"")</f>
        <v/>
      </c>
      <c r="F100" s="11" t="str">
        <f>IF($B100&gt;0,IF((1-(SETUP!$B$6+SETUP!$B$5+SETUP!$B$7))&lt;=0,"Check setup",IF(SETUP!$B$7=0,$E100,$B100/(1-(SETUP!$B$6+SETUP!$B$5+SETUP!$B$7)))),"")</f>
        <v/>
      </c>
      <c r="G100" s="11" t="str">
        <f>IF(LOWER(SETUP!$B$3)="yes",IF($E100="","",$E100*(1+SETUP!$B$4)),"")</f>
        <v/>
      </c>
      <c r="H100" s="11" t="str">
        <f>IF(LOWER(SETUP!$B$3)="yes",IF($F100="","",$F100*(1+SETUP!$B$4)),"")</f>
        <v/>
      </c>
      <c r="I100" s="12" t="str">
        <f>IF($C100&gt;0,($C100-$B100-($C100*SETUP!$B$5))/$C100,"")</f>
        <v/>
      </c>
      <c r="J100" s="11" t="e">
        <f>IF($E100&gt;0,$E100-$B100-($E100*SETUP!$B$5),"")</f>
        <v>#VALUE!</v>
      </c>
      <c r="K100" s="13" t="str">
        <f t="shared" ref="K100:K131" si="3">IF($C100&gt;0,IF($C100&lt;$E100,"YES","NO"),"")</f>
        <v/>
      </c>
    </row>
    <row r="101" spans="1:11" x14ac:dyDescent="0.3">
      <c r="A101" s="9"/>
      <c r="B101" s="10"/>
      <c r="C101" s="10"/>
      <c r="D101" s="11" t="str">
        <f>IF($B101&gt;0,$B101/(1-SETUP!$B$5),"")</f>
        <v/>
      </c>
      <c r="E101" s="11" t="str">
        <f>IF($B101&gt;0,IF((1-(SETUP!$B$6+SETUP!$B$5))&lt;=0,"Check setup",$B101/(1-(SETUP!$B$6+SETUP!$B$5))),"")</f>
        <v/>
      </c>
      <c r="F101" s="11" t="str">
        <f>IF($B101&gt;0,IF((1-(SETUP!$B$6+SETUP!$B$5+SETUP!$B$7))&lt;=0,"Check setup",IF(SETUP!$B$7=0,$E101,$B101/(1-(SETUP!$B$6+SETUP!$B$5+SETUP!$B$7)))),"")</f>
        <v/>
      </c>
      <c r="G101" s="11" t="str">
        <f>IF(LOWER(SETUP!$B$3)="yes",IF($E101="","",$E101*(1+SETUP!$B$4)),"")</f>
        <v/>
      </c>
      <c r="H101" s="11" t="str">
        <f>IF(LOWER(SETUP!$B$3)="yes",IF($F101="","",$F101*(1+SETUP!$B$4)),"")</f>
        <v/>
      </c>
      <c r="I101" s="12" t="str">
        <f>IF($C101&gt;0,($C101-$B101-($C101*SETUP!$B$5))/$C101,"")</f>
        <v/>
      </c>
      <c r="J101" s="11" t="e">
        <f>IF($E101&gt;0,$E101-$B101-($E101*SETUP!$B$5),"")</f>
        <v>#VALUE!</v>
      </c>
      <c r="K101" s="13" t="str">
        <f t="shared" si="3"/>
        <v/>
      </c>
    </row>
    <row r="102" spans="1:11" x14ac:dyDescent="0.3">
      <c r="A102" s="9"/>
      <c r="B102" s="10"/>
      <c r="C102" s="10"/>
      <c r="D102" s="11" t="str">
        <f>IF($B102&gt;0,$B102/(1-SETUP!$B$5),"")</f>
        <v/>
      </c>
      <c r="E102" s="11" t="str">
        <f>IF($B102&gt;0,IF((1-(SETUP!$B$6+SETUP!$B$5))&lt;=0,"Check setup",$B102/(1-(SETUP!$B$6+SETUP!$B$5))),"")</f>
        <v/>
      </c>
      <c r="F102" s="11" t="str">
        <f>IF($B102&gt;0,IF((1-(SETUP!$B$6+SETUP!$B$5+SETUP!$B$7))&lt;=0,"Check setup",IF(SETUP!$B$7=0,$E102,$B102/(1-(SETUP!$B$6+SETUP!$B$5+SETUP!$B$7)))),"")</f>
        <v/>
      </c>
      <c r="G102" s="11" t="str">
        <f>IF(LOWER(SETUP!$B$3)="yes",IF($E102="","",$E102*(1+SETUP!$B$4)),"")</f>
        <v/>
      </c>
      <c r="H102" s="11" t="str">
        <f>IF(LOWER(SETUP!$B$3)="yes",IF($F102="","",$F102*(1+SETUP!$B$4)),"")</f>
        <v/>
      </c>
      <c r="I102" s="12" t="str">
        <f>IF($C102&gt;0,($C102-$B102-($C102*SETUP!$B$5))/$C102,"")</f>
        <v/>
      </c>
      <c r="J102" s="11" t="e">
        <f>IF($E102&gt;0,$E102-$B102-($E102*SETUP!$B$5),"")</f>
        <v>#VALUE!</v>
      </c>
      <c r="K102" s="13" t="str">
        <f t="shared" si="3"/>
        <v/>
      </c>
    </row>
    <row r="103" spans="1:11" x14ac:dyDescent="0.3">
      <c r="A103" s="9"/>
      <c r="B103" s="10"/>
      <c r="C103" s="10"/>
      <c r="D103" s="11" t="str">
        <f>IF($B103&gt;0,$B103/(1-SETUP!$B$5),"")</f>
        <v/>
      </c>
      <c r="E103" s="11" t="str">
        <f>IF($B103&gt;0,IF((1-(SETUP!$B$6+SETUP!$B$5))&lt;=0,"Check setup",$B103/(1-(SETUP!$B$6+SETUP!$B$5))),"")</f>
        <v/>
      </c>
      <c r="F103" s="11" t="str">
        <f>IF($B103&gt;0,IF((1-(SETUP!$B$6+SETUP!$B$5+SETUP!$B$7))&lt;=0,"Check setup",IF(SETUP!$B$7=0,$E103,$B103/(1-(SETUP!$B$6+SETUP!$B$5+SETUP!$B$7)))),"")</f>
        <v/>
      </c>
      <c r="G103" s="11" t="str">
        <f>IF(LOWER(SETUP!$B$3)="yes",IF($E103="","",$E103*(1+SETUP!$B$4)),"")</f>
        <v/>
      </c>
      <c r="H103" s="11" t="str">
        <f>IF(LOWER(SETUP!$B$3)="yes",IF($F103="","",$F103*(1+SETUP!$B$4)),"")</f>
        <v/>
      </c>
      <c r="I103" s="12" t="str">
        <f>IF($C103&gt;0,($C103-$B103-($C103*SETUP!$B$5))/$C103,"")</f>
        <v/>
      </c>
      <c r="J103" s="11" t="e">
        <f>IF($E103&gt;0,$E103-$B103-($E103*SETUP!$B$5),"")</f>
        <v>#VALUE!</v>
      </c>
      <c r="K103" s="13" t="str">
        <f t="shared" si="3"/>
        <v/>
      </c>
    </row>
    <row r="104" spans="1:11" x14ac:dyDescent="0.3">
      <c r="A104" s="9"/>
      <c r="B104" s="10"/>
      <c r="C104" s="10"/>
      <c r="D104" s="11" t="str">
        <f>IF($B104&gt;0,$B104/(1-SETUP!$B$5),"")</f>
        <v/>
      </c>
      <c r="E104" s="11" t="str">
        <f>IF($B104&gt;0,IF((1-(SETUP!$B$6+SETUP!$B$5))&lt;=0,"Check setup",$B104/(1-(SETUP!$B$6+SETUP!$B$5))),"")</f>
        <v/>
      </c>
      <c r="F104" s="11" t="str">
        <f>IF($B104&gt;0,IF((1-(SETUP!$B$6+SETUP!$B$5+SETUP!$B$7))&lt;=0,"Check setup",IF(SETUP!$B$7=0,$E104,$B104/(1-(SETUP!$B$6+SETUP!$B$5+SETUP!$B$7)))),"")</f>
        <v/>
      </c>
      <c r="G104" s="11" t="str">
        <f>IF(LOWER(SETUP!$B$3)="yes",IF($E104="","",$E104*(1+SETUP!$B$4)),"")</f>
        <v/>
      </c>
      <c r="H104" s="11" t="str">
        <f>IF(LOWER(SETUP!$B$3)="yes",IF($F104="","",$F104*(1+SETUP!$B$4)),"")</f>
        <v/>
      </c>
      <c r="I104" s="12" t="str">
        <f>IF($C104&gt;0,($C104-$B104-($C104*SETUP!$B$5))/$C104,"")</f>
        <v/>
      </c>
      <c r="J104" s="11" t="e">
        <f>IF($E104&gt;0,$E104-$B104-($E104*SETUP!$B$5),"")</f>
        <v>#VALUE!</v>
      </c>
      <c r="K104" s="13" t="str">
        <f t="shared" si="3"/>
        <v/>
      </c>
    </row>
    <row r="105" spans="1:11" x14ac:dyDescent="0.3">
      <c r="A105" s="9"/>
      <c r="B105" s="10"/>
      <c r="C105" s="10"/>
      <c r="D105" s="11" t="str">
        <f>IF($B105&gt;0,$B105/(1-SETUP!$B$5),"")</f>
        <v/>
      </c>
      <c r="E105" s="11" t="str">
        <f>IF($B105&gt;0,IF((1-(SETUP!$B$6+SETUP!$B$5))&lt;=0,"Check setup",$B105/(1-(SETUP!$B$6+SETUP!$B$5))),"")</f>
        <v/>
      </c>
      <c r="F105" s="11" t="str">
        <f>IF($B105&gt;0,IF((1-(SETUP!$B$6+SETUP!$B$5+SETUP!$B$7))&lt;=0,"Check setup",IF(SETUP!$B$7=0,$E105,$B105/(1-(SETUP!$B$6+SETUP!$B$5+SETUP!$B$7)))),"")</f>
        <v/>
      </c>
      <c r="G105" s="11" t="str">
        <f>IF(LOWER(SETUP!$B$3)="yes",IF($E105="","",$E105*(1+SETUP!$B$4)),"")</f>
        <v/>
      </c>
      <c r="H105" s="11" t="str">
        <f>IF(LOWER(SETUP!$B$3)="yes",IF($F105="","",$F105*(1+SETUP!$B$4)),"")</f>
        <v/>
      </c>
      <c r="I105" s="12" t="str">
        <f>IF($C105&gt;0,($C105-$B105-($C105*SETUP!$B$5))/$C105,"")</f>
        <v/>
      </c>
      <c r="J105" s="11" t="e">
        <f>IF($E105&gt;0,$E105-$B105-($E105*SETUP!$B$5),"")</f>
        <v>#VALUE!</v>
      </c>
      <c r="K105" s="13" t="str">
        <f t="shared" si="3"/>
        <v/>
      </c>
    </row>
    <row r="106" spans="1:11" x14ac:dyDescent="0.3">
      <c r="A106" s="9"/>
      <c r="B106" s="10"/>
      <c r="C106" s="10"/>
      <c r="D106" s="11" t="str">
        <f>IF($B106&gt;0,$B106/(1-SETUP!$B$5),"")</f>
        <v/>
      </c>
      <c r="E106" s="11" t="str">
        <f>IF($B106&gt;0,IF((1-(SETUP!$B$6+SETUP!$B$5))&lt;=0,"Check setup",$B106/(1-(SETUP!$B$6+SETUP!$B$5))),"")</f>
        <v/>
      </c>
      <c r="F106" s="11" t="str">
        <f>IF($B106&gt;0,IF((1-(SETUP!$B$6+SETUP!$B$5+SETUP!$B$7))&lt;=0,"Check setup",IF(SETUP!$B$7=0,$E106,$B106/(1-(SETUP!$B$6+SETUP!$B$5+SETUP!$B$7)))),"")</f>
        <v/>
      </c>
      <c r="G106" s="11" t="str">
        <f>IF(LOWER(SETUP!$B$3)="yes",IF($E106="","",$E106*(1+SETUP!$B$4)),"")</f>
        <v/>
      </c>
      <c r="H106" s="11" t="str">
        <f>IF(LOWER(SETUP!$B$3)="yes",IF($F106="","",$F106*(1+SETUP!$B$4)),"")</f>
        <v/>
      </c>
      <c r="I106" s="12" t="str">
        <f>IF($C106&gt;0,($C106-$B106-($C106*SETUP!$B$5))/$C106,"")</f>
        <v/>
      </c>
      <c r="J106" s="11" t="e">
        <f>IF($E106&gt;0,$E106-$B106-($E106*SETUP!$B$5),"")</f>
        <v>#VALUE!</v>
      </c>
      <c r="K106" s="13" t="str">
        <f t="shared" si="3"/>
        <v/>
      </c>
    </row>
    <row r="107" spans="1:11" x14ac:dyDescent="0.3">
      <c r="A107" s="9"/>
      <c r="B107" s="10"/>
      <c r="C107" s="10"/>
      <c r="D107" s="11" t="str">
        <f>IF($B107&gt;0,$B107/(1-SETUP!$B$5),"")</f>
        <v/>
      </c>
      <c r="E107" s="11" t="str">
        <f>IF($B107&gt;0,IF((1-(SETUP!$B$6+SETUP!$B$5))&lt;=0,"Check setup",$B107/(1-(SETUP!$B$6+SETUP!$B$5))),"")</f>
        <v/>
      </c>
      <c r="F107" s="11" t="str">
        <f>IF($B107&gt;0,IF((1-(SETUP!$B$6+SETUP!$B$5+SETUP!$B$7))&lt;=0,"Check setup",IF(SETUP!$B$7=0,$E107,$B107/(1-(SETUP!$B$6+SETUP!$B$5+SETUP!$B$7)))),"")</f>
        <v/>
      </c>
      <c r="G107" s="11" t="str">
        <f>IF(LOWER(SETUP!$B$3)="yes",IF($E107="","",$E107*(1+SETUP!$B$4)),"")</f>
        <v/>
      </c>
      <c r="H107" s="11" t="str">
        <f>IF(LOWER(SETUP!$B$3)="yes",IF($F107="","",$F107*(1+SETUP!$B$4)),"")</f>
        <v/>
      </c>
      <c r="I107" s="12" t="str">
        <f>IF($C107&gt;0,($C107-$B107-($C107*SETUP!$B$5))/$C107,"")</f>
        <v/>
      </c>
      <c r="J107" s="11" t="e">
        <f>IF($E107&gt;0,$E107-$B107-($E107*SETUP!$B$5),"")</f>
        <v>#VALUE!</v>
      </c>
      <c r="K107" s="13" t="str">
        <f t="shared" si="3"/>
        <v/>
      </c>
    </row>
    <row r="108" spans="1:11" x14ac:dyDescent="0.3">
      <c r="A108" s="9"/>
      <c r="B108" s="10"/>
      <c r="C108" s="10"/>
      <c r="D108" s="11" t="str">
        <f>IF($B108&gt;0,$B108/(1-SETUP!$B$5),"")</f>
        <v/>
      </c>
      <c r="E108" s="11" t="str">
        <f>IF($B108&gt;0,IF((1-(SETUP!$B$6+SETUP!$B$5))&lt;=0,"Check setup",$B108/(1-(SETUP!$B$6+SETUP!$B$5))),"")</f>
        <v/>
      </c>
      <c r="F108" s="11" t="str">
        <f>IF($B108&gt;0,IF((1-(SETUP!$B$6+SETUP!$B$5+SETUP!$B$7))&lt;=0,"Check setup",IF(SETUP!$B$7=0,$E108,$B108/(1-(SETUP!$B$6+SETUP!$B$5+SETUP!$B$7)))),"")</f>
        <v/>
      </c>
      <c r="G108" s="11" t="str">
        <f>IF(LOWER(SETUP!$B$3)="yes",IF($E108="","",$E108*(1+SETUP!$B$4)),"")</f>
        <v/>
      </c>
      <c r="H108" s="11" t="str">
        <f>IF(LOWER(SETUP!$B$3)="yes",IF($F108="","",$F108*(1+SETUP!$B$4)),"")</f>
        <v/>
      </c>
      <c r="I108" s="12" t="str">
        <f>IF($C108&gt;0,($C108-$B108-($C108*SETUP!$B$5))/$C108,"")</f>
        <v/>
      </c>
      <c r="J108" s="11" t="e">
        <f>IF($E108&gt;0,$E108-$B108-($E108*SETUP!$B$5),"")</f>
        <v>#VALUE!</v>
      </c>
      <c r="K108" s="13" t="str">
        <f t="shared" si="3"/>
        <v/>
      </c>
    </row>
    <row r="109" spans="1:11" x14ac:dyDescent="0.3">
      <c r="A109" s="9"/>
      <c r="B109" s="10"/>
      <c r="C109" s="10"/>
      <c r="D109" s="11" t="str">
        <f>IF($B109&gt;0,$B109/(1-SETUP!$B$5),"")</f>
        <v/>
      </c>
      <c r="E109" s="11" t="str">
        <f>IF($B109&gt;0,IF((1-(SETUP!$B$6+SETUP!$B$5))&lt;=0,"Check setup",$B109/(1-(SETUP!$B$6+SETUP!$B$5))),"")</f>
        <v/>
      </c>
      <c r="F109" s="11" t="str">
        <f>IF($B109&gt;0,IF((1-(SETUP!$B$6+SETUP!$B$5+SETUP!$B$7))&lt;=0,"Check setup",IF(SETUP!$B$7=0,$E109,$B109/(1-(SETUP!$B$6+SETUP!$B$5+SETUP!$B$7)))),"")</f>
        <v/>
      </c>
      <c r="G109" s="11" t="str">
        <f>IF(LOWER(SETUP!$B$3)="yes",IF($E109="","",$E109*(1+SETUP!$B$4)),"")</f>
        <v/>
      </c>
      <c r="H109" s="11" t="str">
        <f>IF(LOWER(SETUP!$B$3)="yes",IF($F109="","",$F109*(1+SETUP!$B$4)),"")</f>
        <v/>
      </c>
      <c r="I109" s="12" t="str">
        <f>IF($C109&gt;0,($C109-$B109-($C109*SETUP!$B$5))/$C109,"")</f>
        <v/>
      </c>
      <c r="J109" s="11" t="e">
        <f>IF($E109&gt;0,$E109-$B109-($E109*SETUP!$B$5),"")</f>
        <v>#VALUE!</v>
      </c>
      <c r="K109" s="13" t="str">
        <f t="shared" si="3"/>
        <v/>
      </c>
    </row>
    <row r="110" spans="1:11" x14ac:dyDescent="0.3">
      <c r="A110" s="9"/>
      <c r="B110" s="10"/>
      <c r="C110" s="10"/>
      <c r="D110" s="11" t="str">
        <f>IF($B110&gt;0,$B110/(1-SETUP!$B$5),"")</f>
        <v/>
      </c>
      <c r="E110" s="11" t="str">
        <f>IF($B110&gt;0,IF((1-(SETUP!$B$6+SETUP!$B$5))&lt;=0,"Check setup",$B110/(1-(SETUP!$B$6+SETUP!$B$5))),"")</f>
        <v/>
      </c>
      <c r="F110" s="11" t="str">
        <f>IF($B110&gt;0,IF((1-(SETUP!$B$6+SETUP!$B$5+SETUP!$B$7))&lt;=0,"Check setup",IF(SETUP!$B$7=0,$E110,$B110/(1-(SETUP!$B$6+SETUP!$B$5+SETUP!$B$7)))),"")</f>
        <v/>
      </c>
      <c r="G110" s="11" t="str">
        <f>IF(LOWER(SETUP!$B$3)="yes",IF($E110="","",$E110*(1+SETUP!$B$4)),"")</f>
        <v/>
      </c>
      <c r="H110" s="11" t="str">
        <f>IF(LOWER(SETUP!$B$3)="yes",IF($F110="","",$F110*(1+SETUP!$B$4)),"")</f>
        <v/>
      </c>
      <c r="I110" s="12" t="str">
        <f>IF($C110&gt;0,($C110-$B110-($C110*SETUP!$B$5))/$C110,"")</f>
        <v/>
      </c>
      <c r="J110" s="11" t="e">
        <f>IF($E110&gt;0,$E110-$B110-($E110*SETUP!$B$5),"")</f>
        <v>#VALUE!</v>
      </c>
      <c r="K110" s="13" t="str">
        <f t="shared" si="3"/>
        <v/>
      </c>
    </row>
    <row r="111" spans="1:11" x14ac:dyDescent="0.3">
      <c r="A111" s="9"/>
      <c r="B111" s="10"/>
      <c r="C111" s="10"/>
      <c r="D111" s="11" t="str">
        <f>IF($B111&gt;0,$B111/(1-SETUP!$B$5),"")</f>
        <v/>
      </c>
      <c r="E111" s="11" t="str">
        <f>IF($B111&gt;0,IF((1-(SETUP!$B$6+SETUP!$B$5))&lt;=0,"Check setup",$B111/(1-(SETUP!$B$6+SETUP!$B$5))),"")</f>
        <v/>
      </c>
      <c r="F111" s="11" t="str">
        <f>IF($B111&gt;0,IF((1-(SETUP!$B$6+SETUP!$B$5+SETUP!$B$7))&lt;=0,"Check setup",IF(SETUP!$B$7=0,$E111,$B111/(1-(SETUP!$B$6+SETUP!$B$5+SETUP!$B$7)))),"")</f>
        <v/>
      </c>
      <c r="G111" s="11" t="str">
        <f>IF(LOWER(SETUP!$B$3)="yes",IF($E111="","",$E111*(1+SETUP!$B$4)),"")</f>
        <v/>
      </c>
      <c r="H111" s="11" t="str">
        <f>IF(LOWER(SETUP!$B$3)="yes",IF($F111="","",$F111*(1+SETUP!$B$4)),"")</f>
        <v/>
      </c>
      <c r="I111" s="12" t="str">
        <f>IF($C111&gt;0,($C111-$B111-($C111*SETUP!$B$5))/$C111,"")</f>
        <v/>
      </c>
      <c r="J111" s="11" t="e">
        <f>IF($E111&gt;0,$E111-$B111-($E111*SETUP!$B$5),"")</f>
        <v>#VALUE!</v>
      </c>
      <c r="K111" s="13" t="str">
        <f t="shared" si="3"/>
        <v/>
      </c>
    </row>
    <row r="112" spans="1:11" x14ac:dyDescent="0.3">
      <c r="A112" s="9"/>
      <c r="B112" s="10"/>
      <c r="C112" s="10"/>
      <c r="D112" s="11" t="str">
        <f>IF($B112&gt;0,$B112/(1-SETUP!$B$5),"")</f>
        <v/>
      </c>
      <c r="E112" s="11" t="str">
        <f>IF($B112&gt;0,IF((1-(SETUP!$B$6+SETUP!$B$5))&lt;=0,"Check setup",$B112/(1-(SETUP!$B$6+SETUP!$B$5))),"")</f>
        <v/>
      </c>
      <c r="F112" s="11" t="str">
        <f>IF($B112&gt;0,IF((1-(SETUP!$B$6+SETUP!$B$5+SETUP!$B$7))&lt;=0,"Check setup",IF(SETUP!$B$7=0,$E112,$B112/(1-(SETUP!$B$6+SETUP!$B$5+SETUP!$B$7)))),"")</f>
        <v/>
      </c>
      <c r="G112" s="11" t="str">
        <f>IF(LOWER(SETUP!$B$3)="yes",IF($E112="","",$E112*(1+SETUP!$B$4)),"")</f>
        <v/>
      </c>
      <c r="H112" s="11" t="str">
        <f>IF(LOWER(SETUP!$B$3)="yes",IF($F112="","",$F112*(1+SETUP!$B$4)),"")</f>
        <v/>
      </c>
      <c r="I112" s="12" t="str">
        <f>IF($C112&gt;0,($C112-$B112-($C112*SETUP!$B$5))/$C112,"")</f>
        <v/>
      </c>
      <c r="J112" s="11" t="e">
        <f>IF($E112&gt;0,$E112-$B112-($E112*SETUP!$B$5),"")</f>
        <v>#VALUE!</v>
      </c>
      <c r="K112" s="13" t="str">
        <f t="shared" si="3"/>
        <v/>
      </c>
    </row>
    <row r="113" spans="1:11" x14ac:dyDescent="0.3">
      <c r="A113" s="9"/>
      <c r="B113" s="10"/>
      <c r="C113" s="10"/>
      <c r="D113" s="11" t="str">
        <f>IF($B113&gt;0,$B113/(1-SETUP!$B$5),"")</f>
        <v/>
      </c>
      <c r="E113" s="11" t="str">
        <f>IF($B113&gt;0,IF((1-(SETUP!$B$6+SETUP!$B$5))&lt;=0,"Check setup",$B113/(1-(SETUP!$B$6+SETUP!$B$5))),"")</f>
        <v/>
      </c>
      <c r="F113" s="11" t="str">
        <f>IF($B113&gt;0,IF((1-(SETUP!$B$6+SETUP!$B$5+SETUP!$B$7))&lt;=0,"Check setup",IF(SETUP!$B$7=0,$E113,$B113/(1-(SETUP!$B$6+SETUP!$B$5+SETUP!$B$7)))),"")</f>
        <v/>
      </c>
      <c r="G113" s="11" t="str">
        <f>IF(LOWER(SETUP!$B$3)="yes",IF($E113="","",$E113*(1+SETUP!$B$4)),"")</f>
        <v/>
      </c>
      <c r="H113" s="11" t="str">
        <f>IF(LOWER(SETUP!$B$3)="yes",IF($F113="","",$F113*(1+SETUP!$B$4)),"")</f>
        <v/>
      </c>
      <c r="I113" s="12" t="str">
        <f>IF($C113&gt;0,($C113-$B113-($C113*SETUP!$B$5))/$C113,"")</f>
        <v/>
      </c>
      <c r="J113" s="11" t="e">
        <f>IF($E113&gt;0,$E113-$B113-($E113*SETUP!$B$5),"")</f>
        <v>#VALUE!</v>
      </c>
      <c r="K113" s="13" t="str">
        <f t="shared" si="3"/>
        <v/>
      </c>
    </row>
    <row r="114" spans="1:11" x14ac:dyDescent="0.3">
      <c r="A114" s="9"/>
      <c r="B114" s="10"/>
      <c r="C114" s="10"/>
      <c r="D114" s="11" t="str">
        <f>IF($B114&gt;0,$B114/(1-SETUP!$B$5),"")</f>
        <v/>
      </c>
      <c r="E114" s="11" t="str">
        <f>IF($B114&gt;0,IF((1-(SETUP!$B$6+SETUP!$B$5))&lt;=0,"Check setup",$B114/(1-(SETUP!$B$6+SETUP!$B$5))),"")</f>
        <v/>
      </c>
      <c r="F114" s="11" t="str">
        <f>IF($B114&gt;0,IF((1-(SETUP!$B$6+SETUP!$B$5+SETUP!$B$7))&lt;=0,"Check setup",IF(SETUP!$B$7=0,$E114,$B114/(1-(SETUP!$B$6+SETUP!$B$5+SETUP!$B$7)))),"")</f>
        <v/>
      </c>
      <c r="G114" s="11" t="str">
        <f>IF(LOWER(SETUP!$B$3)="yes",IF($E114="","",$E114*(1+SETUP!$B$4)),"")</f>
        <v/>
      </c>
      <c r="H114" s="11" t="str">
        <f>IF(LOWER(SETUP!$B$3)="yes",IF($F114="","",$F114*(1+SETUP!$B$4)),"")</f>
        <v/>
      </c>
      <c r="I114" s="12" t="str">
        <f>IF($C114&gt;0,($C114-$B114-($C114*SETUP!$B$5))/$C114,"")</f>
        <v/>
      </c>
      <c r="J114" s="11" t="e">
        <f>IF($E114&gt;0,$E114-$B114-($E114*SETUP!$B$5),"")</f>
        <v>#VALUE!</v>
      </c>
      <c r="K114" s="13" t="str">
        <f t="shared" si="3"/>
        <v/>
      </c>
    </row>
    <row r="115" spans="1:11" x14ac:dyDescent="0.3">
      <c r="A115" s="9"/>
      <c r="B115" s="10"/>
      <c r="C115" s="10"/>
      <c r="D115" s="11" t="str">
        <f>IF($B115&gt;0,$B115/(1-SETUP!$B$5),"")</f>
        <v/>
      </c>
      <c r="E115" s="11" t="str">
        <f>IF($B115&gt;0,IF((1-(SETUP!$B$6+SETUP!$B$5))&lt;=0,"Check setup",$B115/(1-(SETUP!$B$6+SETUP!$B$5))),"")</f>
        <v/>
      </c>
      <c r="F115" s="11" t="str">
        <f>IF($B115&gt;0,IF((1-(SETUP!$B$6+SETUP!$B$5+SETUP!$B$7))&lt;=0,"Check setup",IF(SETUP!$B$7=0,$E115,$B115/(1-(SETUP!$B$6+SETUP!$B$5+SETUP!$B$7)))),"")</f>
        <v/>
      </c>
      <c r="G115" s="11" t="str">
        <f>IF(LOWER(SETUP!$B$3)="yes",IF($E115="","",$E115*(1+SETUP!$B$4)),"")</f>
        <v/>
      </c>
      <c r="H115" s="11" t="str">
        <f>IF(LOWER(SETUP!$B$3)="yes",IF($F115="","",$F115*(1+SETUP!$B$4)),"")</f>
        <v/>
      </c>
      <c r="I115" s="12" t="str">
        <f>IF($C115&gt;0,($C115-$B115-($C115*SETUP!$B$5))/$C115,"")</f>
        <v/>
      </c>
      <c r="J115" s="11" t="e">
        <f>IF($E115&gt;0,$E115-$B115-($E115*SETUP!$B$5),"")</f>
        <v>#VALUE!</v>
      </c>
      <c r="K115" s="13" t="str">
        <f t="shared" si="3"/>
        <v/>
      </c>
    </row>
    <row r="116" spans="1:11" x14ac:dyDescent="0.3">
      <c r="A116" s="9"/>
      <c r="B116" s="10"/>
      <c r="C116" s="10"/>
      <c r="D116" s="11" t="str">
        <f>IF($B116&gt;0,$B116/(1-SETUP!$B$5),"")</f>
        <v/>
      </c>
      <c r="E116" s="11" t="str">
        <f>IF($B116&gt;0,IF((1-(SETUP!$B$6+SETUP!$B$5))&lt;=0,"Check setup",$B116/(1-(SETUP!$B$6+SETUP!$B$5))),"")</f>
        <v/>
      </c>
      <c r="F116" s="11" t="str">
        <f>IF($B116&gt;0,IF((1-(SETUP!$B$6+SETUP!$B$5+SETUP!$B$7))&lt;=0,"Check setup",IF(SETUP!$B$7=0,$E116,$B116/(1-(SETUP!$B$6+SETUP!$B$5+SETUP!$B$7)))),"")</f>
        <v/>
      </c>
      <c r="G116" s="11" t="str">
        <f>IF(LOWER(SETUP!$B$3)="yes",IF($E116="","",$E116*(1+SETUP!$B$4)),"")</f>
        <v/>
      </c>
      <c r="H116" s="11" t="str">
        <f>IF(LOWER(SETUP!$B$3)="yes",IF($F116="","",$F116*(1+SETUP!$B$4)),"")</f>
        <v/>
      </c>
      <c r="I116" s="12" t="str">
        <f>IF($C116&gt;0,($C116-$B116-($C116*SETUP!$B$5))/$C116,"")</f>
        <v/>
      </c>
      <c r="J116" s="11" t="e">
        <f>IF($E116&gt;0,$E116-$B116-($E116*SETUP!$B$5),"")</f>
        <v>#VALUE!</v>
      </c>
      <c r="K116" s="13" t="str">
        <f t="shared" si="3"/>
        <v/>
      </c>
    </row>
    <row r="117" spans="1:11" x14ac:dyDescent="0.3">
      <c r="A117" s="9"/>
      <c r="B117" s="10"/>
      <c r="C117" s="10"/>
      <c r="D117" s="11" t="str">
        <f>IF($B117&gt;0,$B117/(1-SETUP!$B$5),"")</f>
        <v/>
      </c>
      <c r="E117" s="11" t="str">
        <f>IF($B117&gt;0,IF((1-(SETUP!$B$6+SETUP!$B$5))&lt;=0,"Check setup",$B117/(1-(SETUP!$B$6+SETUP!$B$5))),"")</f>
        <v/>
      </c>
      <c r="F117" s="11" t="str">
        <f>IF($B117&gt;0,IF((1-(SETUP!$B$6+SETUP!$B$5+SETUP!$B$7))&lt;=0,"Check setup",IF(SETUP!$B$7=0,$E117,$B117/(1-(SETUP!$B$6+SETUP!$B$5+SETUP!$B$7)))),"")</f>
        <v/>
      </c>
      <c r="G117" s="11" t="str">
        <f>IF(LOWER(SETUP!$B$3)="yes",IF($E117="","",$E117*(1+SETUP!$B$4)),"")</f>
        <v/>
      </c>
      <c r="H117" s="11" t="str">
        <f>IF(LOWER(SETUP!$B$3)="yes",IF($F117="","",$F117*(1+SETUP!$B$4)),"")</f>
        <v/>
      </c>
      <c r="I117" s="12" t="str">
        <f>IF($C117&gt;0,($C117-$B117-($C117*SETUP!$B$5))/$C117,"")</f>
        <v/>
      </c>
      <c r="J117" s="11" t="e">
        <f>IF($E117&gt;0,$E117-$B117-($E117*SETUP!$B$5),"")</f>
        <v>#VALUE!</v>
      </c>
      <c r="K117" s="13" t="str">
        <f t="shared" si="3"/>
        <v/>
      </c>
    </row>
    <row r="118" spans="1:11" x14ac:dyDescent="0.3">
      <c r="A118" s="9"/>
      <c r="B118" s="10"/>
      <c r="C118" s="10"/>
      <c r="D118" s="11" t="str">
        <f>IF($B118&gt;0,$B118/(1-SETUP!$B$5),"")</f>
        <v/>
      </c>
      <c r="E118" s="11" t="str">
        <f>IF($B118&gt;0,IF((1-(SETUP!$B$6+SETUP!$B$5))&lt;=0,"Check setup",$B118/(1-(SETUP!$B$6+SETUP!$B$5))),"")</f>
        <v/>
      </c>
      <c r="F118" s="11" t="str">
        <f>IF($B118&gt;0,IF((1-(SETUP!$B$6+SETUP!$B$5+SETUP!$B$7))&lt;=0,"Check setup",IF(SETUP!$B$7=0,$E118,$B118/(1-(SETUP!$B$6+SETUP!$B$5+SETUP!$B$7)))),"")</f>
        <v/>
      </c>
      <c r="G118" s="11" t="str">
        <f>IF(LOWER(SETUP!$B$3)="yes",IF($E118="","",$E118*(1+SETUP!$B$4)),"")</f>
        <v/>
      </c>
      <c r="H118" s="11" t="str">
        <f>IF(LOWER(SETUP!$B$3)="yes",IF($F118="","",$F118*(1+SETUP!$B$4)),"")</f>
        <v/>
      </c>
      <c r="I118" s="12" t="str">
        <f>IF($C118&gt;0,($C118-$B118-($C118*SETUP!$B$5))/$C118,"")</f>
        <v/>
      </c>
      <c r="J118" s="11" t="e">
        <f>IF($E118&gt;0,$E118-$B118-($E118*SETUP!$B$5),"")</f>
        <v>#VALUE!</v>
      </c>
      <c r="K118" s="13" t="str">
        <f t="shared" si="3"/>
        <v/>
      </c>
    </row>
    <row r="119" spans="1:11" x14ac:dyDescent="0.3">
      <c r="A119" s="9"/>
      <c r="B119" s="10"/>
      <c r="C119" s="10"/>
      <c r="D119" s="11" t="str">
        <f>IF($B119&gt;0,$B119/(1-SETUP!$B$5),"")</f>
        <v/>
      </c>
      <c r="E119" s="11" t="str">
        <f>IF($B119&gt;0,IF((1-(SETUP!$B$6+SETUP!$B$5))&lt;=0,"Check setup",$B119/(1-(SETUP!$B$6+SETUP!$B$5))),"")</f>
        <v/>
      </c>
      <c r="F119" s="11" t="str">
        <f>IF($B119&gt;0,IF((1-(SETUP!$B$6+SETUP!$B$5+SETUP!$B$7))&lt;=0,"Check setup",IF(SETUP!$B$7=0,$E119,$B119/(1-(SETUP!$B$6+SETUP!$B$5+SETUP!$B$7)))),"")</f>
        <v/>
      </c>
      <c r="G119" s="11" t="str">
        <f>IF(LOWER(SETUP!$B$3)="yes",IF($E119="","",$E119*(1+SETUP!$B$4)),"")</f>
        <v/>
      </c>
      <c r="H119" s="11" t="str">
        <f>IF(LOWER(SETUP!$B$3)="yes",IF($F119="","",$F119*(1+SETUP!$B$4)),"")</f>
        <v/>
      </c>
      <c r="I119" s="12" t="str">
        <f>IF($C119&gt;0,($C119-$B119-($C119*SETUP!$B$5))/$C119,"")</f>
        <v/>
      </c>
      <c r="J119" s="11" t="e">
        <f>IF($E119&gt;0,$E119-$B119-($E119*SETUP!$B$5),"")</f>
        <v>#VALUE!</v>
      </c>
      <c r="K119" s="13" t="str">
        <f t="shared" si="3"/>
        <v/>
      </c>
    </row>
    <row r="120" spans="1:11" x14ac:dyDescent="0.3">
      <c r="A120" s="9"/>
      <c r="B120" s="10"/>
      <c r="C120" s="10"/>
      <c r="D120" s="11" t="str">
        <f>IF($B120&gt;0,$B120/(1-SETUP!$B$5),"")</f>
        <v/>
      </c>
      <c r="E120" s="11" t="str">
        <f>IF($B120&gt;0,IF((1-(SETUP!$B$6+SETUP!$B$5))&lt;=0,"Check setup",$B120/(1-(SETUP!$B$6+SETUP!$B$5))),"")</f>
        <v/>
      </c>
      <c r="F120" s="11" t="str">
        <f>IF($B120&gt;0,IF((1-(SETUP!$B$6+SETUP!$B$5+SETUP!$B$7))&lt;=0,"Check setup",IF(SETUP!$B$7=0,$E120,$B120/(1-(SETUP!$B$6+SETUP!$B$5+SETUP!$B$7)))),"")</f>
        <v/>
      </c>
      <c r="G120" s="11" t="str">
        <f>IF(LOWER(SETUP!$B$3)="yes",IF($E120="","",$E120*(1+SETUP!$B$4)),"")</f>
        <v/>
      </c>
      <c r="H120" s="11" t="str">
        <f>IF(LOWER(SETUP!$B$3)="yes",IF($F120="","",$F120*(1+SETUP!$B$4)),"")</f>
        <v/>
      </c>
      <c r="I120" s="12" t="str">
        <f>IF($C120&gt;0,($C120-$B120-($C120*SETUP!$B$5))/$C120,"")</f>
        <v/>
      </c>
      <c r="J120" s="11" t="e">
        <f>IF($E120&gt;0,$E120-$B120-($E120*SETUP!$B$5),"")</f>
        <v>#VALUE!</v>
      </c>
      <c r="K120" s="13" t="str">
        <f t="shared" si="3"/>
        <v/>
      </c>
    </row>
    <row r="121" spans="1:11" x14ac:dyDescent="0.3">
      <c r="A121" s="9"/>
      <c r="B121" s="10"/>
      <c r="C121" s="10"/>
      <c r="D121" s="11" t="str">
        <f>IF($B121&gt;0,$B121/(1-SETUP!$B$5),"")</f>
        <v/>
      </c>
      <c r="E121" s="11" t="str">
        <f>IF($B121&gt;0,IF((1-(SETUP!$B$6+SETUP!$B$5))&lt;=0,"Check setup",$B121/(1-(SETUP!$B$6+SETUP!$B$5))),"")</f>
        <v/>
      </c>
      <c r="F121" s="11" t="str">
        <f>IF($B121&gt;0,IF((1-(SETUP!$B$6+SETUP!$B$5+SETUP!$B$7))&lt;=0,"Check setup",IF(SETUP!$B$7=0,$E121,$B121/(1-(SETUP!$B$6+SETUP!$B$5+SETUP!$B$7)))),"")</f>
        <v/>
      </c>
      <c r="G121" s="11" t="str">
        <f>IF(LOWER(SETUP!$B$3)="yes",IF($E121="","",$E121*(1+SETUP!$B$4)),"")</f>
        <v/>
      </c>
      <c r="H121" s="11" t="str">
        <f>IF(LOWER(SETUP!$B$3)="yes",IF($F121="","",$F121*(1+SETUP!$B$4)),"")</f>
        <v/>
      </c>
      <c r="I121" s="12" t="str">
        <f>IF($C121&gt;0,($C121-$B121-($C121*SETUP!$B$5))/$C121,"")</f>
        <v/>
      </c>
      <c r="J121" s="11" t="e">
        <f>IF($E121&gt;0,$E121-$B121-($E121*SETUP!$B$5),"")</f>
        <v>#VALUE!</v>
      </c>
      <c r="K121" s="13" t="str">
        <f t="shared" si="3"/>
        <v/>
      </c>
    </row>
    <row r="122" spans="1:11" x14ac:dyDescent="0.3">
      <c r="A122" s="9"/>
      <c r="B122" s="10"/>
      <c r="C122" s="10"/>
      <c r="D122" s="11" t="str">
        <f>IF($B122&gt;0,$B122/(1-SETUP!$B$5),"")</f>
        <v/>
      </c>
      <c r="E122" s="11" t="str">
        <f>IF($B122&gt;0,IF((1-(SETUP!$B$6+SETUP!$B$5))&lt;=0,"Check setup",$B122/(1-(SETUP!$B$6+SETUP!$B$5))),"")</f>
        <v/>
      </c>
      <c r="F122" s="11" t="str">
        <f>IF($B122&gt;0,IF((1-(SETUP!$B$6+SETUP!$B$5+SETUP!$B$7))&lt;=0,"Check setup",IF(SETUP!$B$7=0,$E122,$B122/(1-(SETUP!$B$6+SETUP!$B$5+SETUP!$B$7)))),"")</f>
        <v/>
      </c>
      <c r="G122" s="11" t="str">
        <f>IF(LOWER(SETUP!$B$3)="yes",IF($E122="","",$E122*(1+SETUP!$B$4)),"")</f>
        <v/>
      </c>
      <c r="H122" s="11" t="str">
        <f>IF(LOWER(SETUP!$B$3)="yes",IF($F122="","",$F122*(1+SETUP!$B$4)),"")</f>
        <v/>
      </c>
      <c r="I122" s="12" t="str">
        <f>IF($C122&gt;0,($C122-$B122-($C122*SETUP!$B$5))/$C122,"")</f>
        <v/>
      </c>
      <c r="J122" s="11" t="e">
        <f>IF($E122&gt;0,$E122-$B122-($E122*SETUP!$B$5),"")</f>
        <v>#VALUE!</v>
      </c>
      <c r="K122" s="13" t="str">
        <f t="shared" si="3"/>
        <v/>
      </c>
    </row>
    <row r="123" spans="1:11" x14ac:dyDescent="0.3">
      <c r="A123" s="9"/>
      <c r="B123" s="10"/>
      <c r="C123" s="10"/>
      <c r="D123" s="11" t="str">
        <f>IF($B123&gt;0,$B123/(1-SETUP!$B$5),"")</f>
        <v/>
      </c>
      <c r="E123" s="11" t="str">
        <f>IF($B123&gt;0,IF((1-(SETUP!$B$6+SETUP!$B$5))&lt;=0,"Check setup",$B123/(1-(SETUP!$B$6+SETUP!$B$5))),"")</f>
        <v/>
      </c>
      <c r="F123" s="11" t="str">
        <f>IF($B123&gt;0,IF((1-(SETUP!$B$6+SETUP!$B$5+SETUP!$B$7))&lt;=0,"Check setup",IF(SETUP!$B$7=0,$E123,$B123/(1-(SETUP!$B$6+SETUP!$B$5+SETUP!$B$7)))),"")</f>
        <v/>
      </c>
      <c r="G123" s="11" t="str">
        <f>IF(LOWER(SETUP!$B$3)="yes",IF($E123="","",$E123*(1+SETUP!$B$4)),"")</f>
        <v/>
      </c>
      <c r="H123" s="11" t="str">
        <f>IF(LOWER(SETUP!$B$3)="yes",IF($F123="","",$F123*(1+SETUP!$B$4)),"")</f>
        <v/>
      </c>
      <c r="I123" s="12" t="str">
        <f>IF($C123&gt;0,($C123-$B123-($C123*SETUP!$B$5))/$C123,"")</f>
        <v/>
      </c>
      <c r="J123" s="11" t="e">
        <f>IF($E123&gt;0,$E123-$B123-($E123*SETUP!$B$5),"")</f>
        <v>#VALUE!</v>
      </c>
      <c r="K123" s="13" t="str">
        <f t="shared" si="3"/>
        <v/>
      </c>
    </row>
    <row r="124" spans="1:11" x14ac:dyDescent="0.3">
      <c r="A124" s="9"/>
      <c r="B124" s="10"/>
      <c r="C124" s="10"/>
      <c r="D124" s="11" t="str">
        <f>IF($B124&gt;0,$B124/(1-SETUP!$B$5),"")</f>
        <v/>
      </c>
      <c r="E124" s="11" t="str">
        <f>IF($B124&gt;0,IF((1-(SETUP!$B$6+SETUP!$B$5))&lt;=0,"Check setup",$B124/(1-(SETUP!$B$6+SETUP!$B$5))),"")</f>
        <v/>
      </c>
      <c r="F124" s="11" t="str">
        <f>IF($B124&gt;0,IF((1-(SETUP!$B$6+SETUP!$B$5+SETUP!$B$7))&lt;=0,"Check setup",IF(SETUP!$B$7=0,$E124,$B124/(1-(SETUP!$B$6+SETUP!$B$5+SETUP!$B$7)))),"")</f>
        <v/>
      </c>
      <c r="G124" s="11" t="str">
        <f>IF(LOWER(SETUP!$B$3)="yes",IF($E124="","",$E124*(1+SETUP!$B$4)),"")</f>
        <v/>
      </c>
      <c r="H124" s="11" t="str">
        <f>IF(LOWER(SETUP!$B$3)="yes",IF($F124="","",$F124*(1+SETUP!$B$4)),"")</f>
        <v/>
      </c>
      <c r="I124" s="12" t="str">
        <f>IF($C124&gt;0,($C124-$B124-($C124*SETUP!$B$5))/$C124,"")</f>
        <v/>
      </c>
      <c r="J124" s="11" t="e">
        <f>IF($E124&gt;0,$E124-$B124-($E124*SETUP!$B$5),"")</f>
        <v>#VALUE!</v>
      </c>
      <c r="K124" s="13" t="str">
        <f t="shared" si="3"/>
        <v/>
      </c>
    </row>
    <row r="125" spans="1:11" x14ac:dyDescent="0.3">
      <c r="A125" s="9"/>
      <c r="B125" s="10"/>
      <c r="C125" s="10"/>
      <c r="D125" s="11" t="str">
        <f>IF($B125&gt;0,$B125/(1-SETUP!$B$5),"")</f>
        <v/>
      </c>
      <c r="E125" s="11" t="str">
        <f>IF($B125&gt;0,IF((1-(SETUP!$B$6+SETUP!$B$5))&lt;=0,"Check setup",$B125/(1-(SETUP!$B$6+SETUP!$B$5))),"")</f>
        <v/>
      </c>
      <c r="F125" s="11" t="str">
        <f>IF($B125&gt;0,IF((1-(SETUP!$B$6+SETUP!$B$5+SETUP!$B$7))&lt;=0,"Check setup",IF(SETUP!$B$7=0,$E125,$B125/(1-(SETUP!$B$6+SETUP!$B$5+SETUP!$B$7)))),"")</f>
        <v/>
      </c>
      <c r="G125" s="11" t="str">
        <f>IF(LOWER(SETUP!$B$3)="yes",IF($E125="","",$E125*(1+SETUP!$B$4)),"")</f>
        <v/>
      </c>
      <c r="H125" s="11" t="str">
        <f>IF(LOWER(SETUP!$B$3)="yes",IF($F125="","",$F125*(1+SETUP!$B$4)),"")</f>
        <v/>
      </c>
      <c r="I125" s="12" t="str">
        <f>IF($C125&gt;0,($C125-$B125-($C125*SETUP!$B$5))/$C125,"")</f>
        <v/>
      </c>
      <c r="J125" s="11" t="e">
        <f>IF($E125&gt;0,$E125-$B125-($E125*SETUP!$B$5),"")</f>
        <v>#VALUE!</v>
      </c>
      <c r="K125" s="13" t="str">
        <f t="shared" si="3"/>
        <v/>
      </c>
    </row>
    <row r="126" spans="1:11" x14ac:dyDescent="0.3">
      <c r="A126" s="9"/>
      <c r="B126" s="10"/>
      <c r="C126" s="10"/>
      <c r="D126" s="11" t="str">
        <f>IF($B126&gt;0,$B126/(1-SETUP!$B$5),"")</f>
        <v/>
      </c>
      <c r="E126" s="11" t="str">
        <f>IF($B126&gt;0,IF((1-(SETUP!$B$6+SETUP!$B$5))&lt;=0,"Check setup",$B126/(1-(SETUP!$B$6+SETUP!$B$5))),"")</f>
        <v/>
      </c>
      <c r="F126" s="11" t="str">
        <f>IF($B126&gt;0,IF((1-(SETUP!$B$6+SETUP!$B$5+SETUP!$B$7))&lt;=0,"Check setup",IF(SETUP!$B$7=0,$E126,$B126/(1-(SETUP!$B$6+SETUP!$B$5+SETUP!$B$7)))),"")</f>
        <v/>
      </c>
      <c r="G126" s="11" t="str">
        <f>IF(LOWER(SETUP!$B$3)="yes",IF($E126="","",$E126*(1+SETUP!$B$4)),"")</f>
        <v/>
      </c>
      <c r="H126" s="11" t="str">
        <f>IF(LOWER(SETUP!$B$3)="yes",IF($F126="","",$F126*(1+SETUP!$B$4)),"")</f>
        <v/>
      </c>
      <c r="I126" s="12" t="str">
        <f>IF($C126&gt;0,($C126-$B126-($C126*SETUP!$B$5))/$C126,"")</f>
        <v/>
      </c>
      <c r="J126" s="11" t="e">
        <f>IF($E126&gt;0,$E126-$B126-($E126*SETUP!$B$5),"")</f>
        <v>#VALUE!</v>
      </c>
      <c r="K126" s="13" t="str">
        <f t="shared" si="3"/>
        <v/>
      </c>
    </row>
    <row r="127" spans="1:11" x14ac:dyDescent="0.3">
      <c r="A127" s="9"/>
      <c r="B127" s="10"/>
      <c r="C127" s="10"/>
      <c r="D127" s="11" t="str">
        <f>IF($B127&gt;0,$B127/(1-SETUP!$B$5),"")</f>
        <v/>
      </c>
      <c r="E127" s="11" t="str">
        <f>IF($B127&gt;0,IF((1-(SETUP!$B$6+SETUP!$B$5))&lt;=0,"Check setup",$B127/(1-(SETUP!$B$6+SETUP!$B$5))),"")</f>
        <v/>
      </c>
      <c r="F127" s="11" t="str">
        <f>IF($B127&gt;0,IF((1-(SETUP!$B$6+SETUP!$B$5+SETUP!$B$7))&lt;=0,"Check setup",IF(SETUP!$B$7=0,$E127,$B127/(1-(SETUP!$B$6+SETUP!$B$5+SETUP!$B$7)))),"")</f>
        <v/>
      </c>
      <c r="G127" s="11" t="str">
        <f>IF(LOWER(SETUP!$B$3)="yes",IF($E127="","",$E127*(1+SETUP!$B$4)),"")</f>
        <v/>
      </c>
      <c r="H127" s="11" t="str">
        <f>IF(LOWER(SETUP!$B$3)="yes",IF($F127="","",$F127*(1+SETUP!$B$4)),"")</f>
        <v/>
      </c>
      <c r="I127" s="12" t="str">
        <f>IF($C127&gt;0,($C127-$B127-($C127*SETUP!$B$5))/$C127,"")</f>
        <v/>
      </c>
      <c r="J127" s="11" t="e">
        <f>IF($E127&gt;0,$E127-$B127-($E127*SETUP!$B$5),"")</f>
        <v>#VALUE!</v>
      </c>
      <c r="K127" s="13" t="str">
        <f t="shared" si="3"/>
        <v/>
      </c>
    </row>
    <row r="128" spans="1:11" x14ac:dyDescent="0.3">
      <c r="A128" s="9"/>
      <c r="B128" s="10"/>
      <c r="C128" s="10"/>
      <c r="D128" s="11" t="str">
        <f>IF($B128&gt;0,$B128/(1-SETUP!$B$5),"")</f>
        <v/>
      </c>
      <c r="E128" s="11" t="str">
        <f>IF($B128&gt;0,IF((1-(SETUP!$B$6+SETUP!$B$5))&lt;=0,"Check setup",$B128/(1-(SETUP!$B$6+SETUP!$B$5))),"")</f>
        <v/>
      </c>
      <c r="F128" s="11" t="str">
        <f>IF($B128&gt;0,IF((1-(SETUP!$B$6+SETUP!$B$5+SETUP!$B$7))&lt;=0,"Check setup",IF(SETUP!$B$7=0,$E128,$B128/(1-(SETUP!$B$6+SETUP!$B$5+SETUP!$B$7)))),"")</f>
        <v/>
      </c>
      <c r="G128" s="11" t="str">
        <f>IF(LOWER(SETUP!$B$3)="yes",IF($E128="","",$E128*(1+SETUP!$B$4)),"")</f>
        <v/>
      </c>
      <c r="H128" s="11" t="str">
        <f>IF(LOWER(SETUP!$B$3)="yes",IF($F128="","",$F128*(1+SETUP!$B$4)),"")</f>
        <v/>
      </c>
      <c r="I128" s="12" t="str">
        <f>IF($C128&gt;0,($C128-$B128-($C128*SETUP!$B$5))/$C128,"")</f>
        <v/>
      </c>
      <c r="J128" s="11" t="e">
        <f>IF($E128&gt;0,$E128-$B128-($E128*SETUP!$B$5),"")</f>
        <v>#VALUE!</v>
      </c>
      <c r="K128" s="13" t="str">
        <f t="shared" si="3"/>
        <v/>
      </c>
    </row>
    <row r="129" spans="1:11" x14ac:dyDescent="0.3">
      <c r="A129" s="9"/>
      <c r="B129" s="10"/>
      <c r="C129" s="10"/>
      <c r="D129" s="11" t="str">
        <f>IF($B129&gt;0,$B129/(1-SETUP!$B$5),"")</f>
        <v/>
      </c>
      <c r="E129" s="11" t="str">
        <f>IF($B129&gt;0,IF((1-(SETUP!$B$6+SETUP!$B$5))&lt;=0,"Check setup",$B129/(1-(SETUP!$B$6+SETUP!$B$5))),"")</f>
        <v/>
      </c>
      <c r="F129" s="11" t="str">
        <f>IF($B129&gt;0,IF((1-(SETUP!$B$6+SETUP!$B$5+SETUP!$B$7))&lt;=0,"Check setup",IF(SETUP!$B$7=0,$E129,$B129/(1-(SETUP!$B$6+SETUP!$B$5+SETUP!$B$7)))),"")</f>
        <v/>
      </c>
      <c r="G129" s="11" t="str">
        <f>IF(LOWER(SETUP!$B$3)="yes",IF($E129="","",$E129*(1+SETUP!$B$4)),"")</f>
        <v/>
      </c>
      <c r="H129" s="11" t="str">
        <f>IF(LOWER(SETUP!$B$3)="yes",IF($F129="","",$F129*(1+SETUP!$B$4)),"")</f>
        <v/>
      </c>
      <c r="I129" s="12" t="str">
        <f>IF($C129&gt;0,($C129-$B129-($C129*SETUP!$B$5))/$C129,"")</f>
        <v/>
      </c>
      <c r="J129" s="11" t="e">
        <f>IF($E129&gt;0,$E129-$B129-($E129*SETUP!$B$5),"")</f>
        <v>#VALUE!</v>
      </c>
      <c r="K129" s="13" t="str">
        <f t="shared" si="3"/>
        <v/>
      </c>
    </row>
    <row r="130" spans="1:11" x14ac:dyDescent="0.3">
      <c r="A130" s="9"/>
      <c r="B130" s="10"/>
      <c r="C130" s="10"/>
      <c r="D130" s="11" t="str">
        <f>IF($B130&gt;0,$B130/(1-SETUP!$B$5),"")</f>
        <v/>
      </c>
      <c r="E130" s="11" t="str">
        <f>IF($B130&gt;0,IF((1-(SETUP!$B$6+SETUP!$B$5))&lt;=0,"Check setup",$B130/(1-(SETUP!$B$6+SETUP!$B$5))),"")</f>
        <v/>
      </c>
      <c r="F130" s="11" t="str">
        <f>IF($B130&gt;0,IF((1-(SETUP!$B$6+SETUP!$B$5+SETUP!$B$7))&lt;=0,"Check setup",IF(SETUP!$B$7=0,$E130,$B130/(1-(SETUP!$B$6+SETUP!$B$5+SETUP!$B$7)))),"")</f>
        <v/>
      </c>
      <c r="G130" s="11" t="str">
        <f>IF(LOWER(SETUP!$B$3)="yes",IF($E130="","",$E130*(1+SETUP!$B$4)),"")</f>
        <v/>
      </c>
      <c r="H130" s="11" t="str">
        <f>IF(LOWER(SETUP!$B$3)="yes",IF($F130="","",$F130*(1+SETUP!$B$4)),"")</f>
        <v/>
      </c>
      <c r="I130" s="12" t="str">
        <f>IF($C130&gt;0,($C130-$B130-($C130*SETUP!$B$5))/$C130,"")</f>
        <v/>
      </c>
      <c r="J130" s="11" t="e">
        <f>IF($E130&gt;0,$E130-$B130-($E130*SETUP!$B$5),"")</f>
        <v>#VALUE!</v>
      </c>
      <c r="K130" s="13" t="str">
        <f t="shared" si="3"/>
        <v/>
      </c>
    </row>
    <row r="131" spans="1:11" x14ac:dyDescent="0.3">
      <c r="A131" s="9"/>
      <c r="B131" s="10"/>
      <c r="C131" s="10"/>
      <c r="D131" s="11" t="str">
        <f>IF($B131&gt;0,$B131/(1-SETUP!$B$5),"")</f>
        <v/>
      </c>
      <c r="E131" s="11" t="str">
        <f>IF($B131&gt;0,IF((1-(SETUP!$B$6+SETUP!$B$5))&lt;=0,"Check setup",$B131/(1-(SETUP!$B$6+SETUP!$B$5))),"")</f>
        <v/>
      </c>
      <c r="F131" s="11" t="str">
        <f>IF($B131&gt;0,IF((1-(SETUP!$B$6+SETUP!$B$5+SETUP!$B$7))&lt;=0,"Check setup",IF(SETUP!$B$7=0,$E131,$B131/(1-(SETUP!$B$6+SETUP!$B$5+SETUP!$B$7)))),"")</f>
        <v/>
      </c>
      <c r="G131" s="11" t="str">
        <f>IF(LOWER(SETUP!$B$3)="yes",IF($E131="","",$E131*(1+SETUP!$B$4)),"")</f>
        <v/>
      </c>
      <c r="H131" s="11" t="str">
        <f>IF(LOWER(SETUP!$B$3)="yes",IF($F131="","",$F131*(1+SETUP!$B$4)),"")</f>
        <v/>
      </c>
      <c r="I131" s="12" t="str">
        <f>IF($C131&gt;0,($C131-$B131-($C131*SETUP!$B$5))/$C131,"")</f>
        <v/>
      </c>
      <c r="J131" s="11" t="e">
        <f>IF($E131&gt;0,$E131-$B131-($E131*SETUP!$B$5),"")</f>
        <v>#VALUE!</v>
      </c>
      <c r="K131" s="13" t="str">
        <f t="shared" si="3"/>
        <v/>
      </c>
    </row>
    <row r="132" spans="1:11" x14ac:dyDescent="0.3">
      <c r="A132" s="9"/>
      <c r="B132" s="10"/>
      <c r="C132" s="10"/>
      <c r="D132" s="11" t="str">
        <f>IF($B132&gt;0,$B132/(1-SETUP!$B$5),"")</f>
        <v/>
      </c>
      <c r="E132" s="11" t="str">
        <f>IF($B132&gt;0,IF((1-(SETUP!$B$6+SETUP!$B$5))&lt;=0,"Check setup",$B132/(1-(SETUP!$B$6+SETUP!$B$5))),"")</f>
        <v/>
      </c>
      <c r="F132" s="11" t="str">
        <f>IF($B132&gt;0,IF((1-(SETUP!$B$6+SETUP!$B$5+SETUP!$B$7))&lt;=0,"Check setup",IF(SETUP!$B$7=0,$E132,$B132/(1-(SETUP!$B$6+SETUP!$B$5+SETUP!$B$7)))),"")</f>
        <v/>
      </c>
      <c r="G132" s="11" t="str">
        <f>IF(LOWER(SETUP!$B$3)="yes",IF($E132="","",$E132*(1+SETUP!$B$4)),"")</f>
        <v/>
      </c>
      <c r="H132" s="11" t="str">
        <f>IF(LOWER(SETUP!$B$3)="yes",IF($F132="","",$F132*(1+SETUP!$B$4)),"")</f>
        <v/>
      </c>
      <c r="I132" s="12" t="str">
        <f>IF($C132&gt;0,($C132-$B132-($C132*SETUP!$B$5))/$C132,"")</f>
        <v/>
      </c>
      <c r="J132" s="11" t="e">
        <f>IF($E132&gt;0,$E132-$B132-($E132*SETUP!$B$5),"")</f>
        <v>#VALUE!</v>
      </c>
      <c r="K132" s="13" t="str">
        <f t="shared" ref="K132:K163" si="4">IF($C132&gt;0,IF($C132&lt;$E132,"YES","NO"),"")</f>
        <v/>
      </c>
    </row>
    <row r="133" spans="1:11" x14ac:dyDescent="0.3">
      <c r="A133" s="9"/>
      <c r="B133" s="10"/>
      <c r="C133" s="10"/>
      <c r="D133" s="11" t="str">
        <f>IF($B133&gt;0,$B133/(1-SETUP!$B$5),"")</f>
        <v/>
      </c>
      <c r="E133" s="11" t="str">
        <f>IF($B133&gt;0,IF((1-(SETUP!$B$6+SETUP!$B$5))&lt;=0,"Check setup",$B133/(1-(SETUP!$B$6+SETUP!$B$5))),"")</f>
        <v/>
      </c>
      <c r="F133" s="11" t="str">
        <f>IF($B133&gt;0,IF((1-(SETUP!$B$6+SETUP!$B$5+SETUP!$B$7))&lt;=0,"Check setup",IF(SETUP!$B$7=0,$E133,$B133/(1-(SETUP!$B$6+SETUP!$B$5+SETUP!$B$7)))),"")</f>
        <v/>
      </c>
      <c r="G133" s="11" t="str">
        <f>IF(LOWER(SETUP!$B$3)="yes",IF($E133="","",$E133*(1+SETUP!$B$4)),"")</f>
        <v/>
      </c>
      <c r="H133" s="11" t="str">
        <f>IF(LOWER(SETUP!$B$3)="yes",IF($F133="","",$F133*(1+SETUP!$B$4)),"")</f>
        <v/>
      </c>
      <c r="I133" s="12" t="str">
        <f>IF($C133&gt;0,($C133-$B133-($C133*SETUP!$B$5))/$C133,"")</f>
        <v/>
      </c>
      <c r="J133" s="11" t="e">
        <f>IF($E133&gt;0,$E133-$B133-($E133*SETUP!$B$5),"")</f>
        <v>#VALUE!</v>
      </c>
      <c r="K133" s="13" t="str">
        <f t="shared" si="4"/>
        <v/>
      </c>
    </row>
    <row r="134" spans="1:11" x14ac:dyDescent="0.3">
      <c r="A134" s="9"/>
      <c r="B134" s="10"/>
      <c r="C134" s="10"/>
      <c r="D134" s="11" t="str">
        <f>IF($B134&gt;0,$B134/(1-SETUP!$B$5),"")</f>
        <v/>
      </c>
      <c r="E134" s="11" t="str">
        <f>IF($B134&gt;0,IF((1-(SETUP!$B$6+SETUP!$B$5))&lt;=0,"Check setup",$B134/(1-(SETUP!$B$6+SETUP!$B$5))),"")</f>
        <v/>
      </c>
      <c r="F134" s="11" t="str">
        <f>IF($B134&gt;0,IF((1-(SETUP!$B$6+SETUP!$B$5+SETUP!$B$7))&lt;=0,"Check setup",IF(SETUP!$B$7=0,$E134,$B134/(1-(SETUP!$B$6+SETUP!$B$5+SETUP!$B$7)))),"")</f>
        <v/>
      </c>
      <c r="G134" s="11" t="str">
        <f>IF(LOWER(SETUP!$B$3)="yes",IF($E134="","",$E134*(1+SETUP!$B$4)),"")</f>
        <v/>
      </c>
      <c r="H134" s="11" t="str">
        <f>IF(LOWER(SETUP!$B$3)="yes",IF($F134="","",$F134*(1+SETUP!$B$4)),"")</f>
        <v/>
      </c>
      <c r="I134" s="12" t="str">
        <f>IF($C134&gt;0,($C134-$B134-($C134*SETUP!$B$5))/$C134,"")</f>
        <v/>
      </c>
      <c r="J134" s="11" t="e">
        <f>IF($E134&gt;0,$E134-$B134-($E134*SETUP!$B$5),"")</f>
        <v>#VALUE!</v>
      </c>
      <c r="K134" s="13" t="str">
        <f t="shared" si="4"/>
        <v/>
      </c>
    </row>
    <row r="135" spans="1:11" x14ac:dyDescent="0.3">
      <c r="A135" s="9"/>
      <c r="B135" s="10"/>
      <c r="C135" s="10"/>
      <c r="D135" s="11" t="str">
        <f>IF($B135&gt;0,$B135/(1-SETUP!$B$5),"")</f>
        <v/>
      </c>
      <c r="E135" s="11" t="str">
        <f>IF($B135&gt;0,IF((1-(SETUP!$B$6+SETUP!$B$5))&lt;=0,"Check setup",$B135/(1-(SETUP!$B$6+SETUP!$B$5))),"")</f>
        <v/>
      </c>
      <c r="F135" s="11" t="str">
        <f>IF($B135&gt;0,IF((1-(SETUP!$B$6+SETUP!$B$5+SETUP!$B$7))&lt;=0,"Check setup",IF(SETUP!$B$7=0,$E135,$B135/(1-(SETUP!$B$6+SETUP!$B$5+SETUP!$B$7)))),"")</f>
        <v/>
      </c>
      <c r="G135" s="11" t="str">
        <f>IF(LOWER(SETUP!$B$3)="yes",IF($E135="","",$E135*(1+SETUP!$B$4)),"")</f>
        <v/>
      </c>
      <c r="H135" s="11" t="str">
        <f>IF(LOWER(SETUP!$B$3)="yes",IF($F135="","",$F135*(1+SETUP!$B$4)),"")</f>
        <v/>
      </c>
      <c r="I135" s="12" t="str">
        <f>IF($C135&gt;0,($C135-$B135-($C135*SETUP!$B$5))/$C135,"")</f>
        <v/>
      </c>
      <c r="J135" s="11" t="e">
        <f>IF($E135&gt;0,$E135-$B135-($E135*SETUP!$B$5),"")</f>
        <v>#VALUE!</v>
      </c>
      <c r="K135" s="13" t="str">
        <f t="shared" si="4"/>
        <v/>
      </c>
    </row>
    <row r="136" spans="1:11" x14ac:dyDescent="0.3">
      <c r="A136" s="9"/>
      <c r="B136" s="10"/>
      <c r="C136" s="10"/>
      <c r="D136" s="11" t="str">
        <f>IF($B136&gt;0,$B136/(1-SETUP!$B$5),"")</f>
        <v/>
      </c>
      <c r="E136" s="11" t="str">
        <f>IF($B136&gt;0,IF((1-(SETUP!$B$6+SETUP!$B$5))&lt;=0,"Check setup",$B136/(1-(SETUP!$B$6+SETUP!$B$5))),"")</f>
        <v/>
      </c>
      <c r="F136" s="11" t="str">
        <f>IF($B136&gt;0,IF((1-(SETUP!$B$6+SETUP!$B$5+SETUP!$B$7))&lt;=0,"Check setup",IF(SETUP!$B$7=0,$E136,$B136/(1-(SETUP!$B$6+SETUP!$B$5+SETUP!$B$7)))),"")</f>
        <v/>
      </c>
      <c r="G136" s="11" t="str">
        <f>IF(LOWER(SETUP!$B$3)="yes",IF($E136="","",$E136*(1+SETUP!$B$4)),"")</f>
        <v/>
      </c>
      <c r="H136" s="11" t="str">
        <f>IF(LOWER(SETUP!$B$3)="yes",IF($F136="","",$F136*(1+SETUP!$B$4)),"")</f>
        <v/>
      </c>
      <c r="I136" s="12" t="str">
        <f>IF($C136&gt;0,($C136-$B136-($C136*SETUP!$B$5))/$C136,"")</f>
        <v/>
      </c>
      <c r="J136" s="11" t="e">
        <f>IF($E136&gt;0,$E136-$B136-($E136*SETUP!$B$5),"")</f>
        <v>#VALUE!</v>
      </c>
      <c r="K136" s="13" t="str">
        <f t="shared" si="4"/>
        <v/>
      </c>
    </row>
    <row r="137" spans="1:11" x14ac:dyDescent="0.3">
      <c r="A137" s="9"/>
      <c r="B137" s="10"/>
      <c r="C137" s="10"/>
      <c r="D137" s="11" t="str">
        <f>IF($B137&gt;0,$B137/(1-SETUP!$B$5),"")</f>
        <v/>
      </c>
      <c r="E137" s="11" t="str">
        <f>IF($B137&gt;0,IF((1-(SETUP!$B$6+SETUP!$B$5))&lt;=0,"Check setup",$B137/(1-(SETUP!$B$6+SETUP!$B$5))),"")</f>
        <v/>
      </c>
      <c r="F137" s="11" t="str">
        <f>IF($B137&gt;0,IF((1-(SETUP!$B$6+SETUP!$B$5+SETUP!$B$7))&lt;=0,"Check setup",IF(SETUP!$B$7=0,$E137,$B137/(1-(SETUP!$B$6+SETUP!$B$5+SETUP!$B$7)))),"")</f>
        <v/>
      </c>
      <c r="G137" s="11" t="str">
        <f>IF(LOWER(SETUP!$B$3)="yes",IF($E137="","",$E137*(1+SETUP!$B$4)),"")</f>
        <v/>
      </c>
      <c r="H137" s="11" t="str">
        <f>IF(LOWER(SETUP!$B$3)="yes",IF($F137="","",$F137*(1+SETUP!$B$4)),"")</f>
        <v/>
      </c>
      <c r="I137" s="12" t="str">
        <f>IF($C137&gt;0,($C137-$B137-($C137*SETUP!$B$5))/$C137,"")</f>
        <v/>
      </c>
      <c r="J137" s="11" t="e">
        <f>IF($E137&gt;0,$E137-$B137-($E137*SETUP!$B$5),"")</f>
        <v>#VALUE!</v>
      </c>
      <c r="K137" s="13" t="str">
        <f t="shared" si="4"/>
        <v/>
      </c>
    </row>
    <row r="138" spans="1:11" x14ac:dyDescent="0.3">
      <c r="A138" s="9"/>
      <c r="B138" s="10"/>
      <c r="C138" s="10"/>
      <c r="D138" s="11" t="str">
        <f>IF($B138&gt;0,$B138/(1-SETUP!$B$5),"")</f>
        <v/>
      </c>
      <c r="E138" s="11" t="str">
        <f>IF($B138&gt;0,IF((1-(SETUP!$B$6+SETUP!$B$5))&lt;=0,"Check setup",$B138/(1-(SETUP!$B$6+SETUP!$B$5))),"")</f>
        <v/>
      </c>
      <c r="F138" s="11" t="str">
        <f>IF($B138&gt;0,IF((1-(SETUP!$B$6+SETUP!$B$5+SETUP!$B$7))&lt;=0,"Check setup",IF(SETUP!$B$7=0,$E138,$B138/(1-(SETUP!$B$6+SETUP!$B$5+SETUP!$B$7)))),"")</f>
        <v/>
      </c>
      <c r="G138" s="11" t="str">
        <f>IF(LOWER(SETUP!$B$3)="yes",IF($E138="","",$E138*(1+SETUP!$B$4)),"")</f>
        <v/>
      </c>
      <c r="H138" s="11" t="str">
        <f>IF(LOWER(SETUP!$B$3)="yes",IF($F138="","",$F138*(1+SETUP!$B$4)),"")</f>
        <v/>
      </c>
      <c r="I138" s="12" t="str">
        <f>IF($C138&gt;0,($C138-$B138-($C138*SETUP!$B$5))/$C138,"")</f>
        <v/>
      </c>
      <c r="J138" s="11" t="e">
        <f>IF($E138&gt;0,$E138-$B138-($E138*SETUP!$B$5),"")</f>
        <v>#VALUE!</v>
      </c>
      <c r="K138" s="13" t="str">
        <f t="shared" si="4"/>
        <v/>
      </c>
    </row>
    <row r="139" spans="1:11" x14ac:dyDescent="0.3">
      <c r="A139" s="9"/>
      <c r="B139" s="10"/>
      <c r="C139" s="10"/>
      <c r="D139" s="11" t="str">
        <f>IF($B139&gt;0,$B139/(1-SETUP!$B$5),"")</f>
        <v/>
      </c>
      <c r="E139" s="11" t="str">
        <f>IF($B139&gt;0,IF((1-(SETUP!$B$6+SETUP!$B$5))&lt;=0,"Check setup",$B139/(1-(SETUP!$B$6+SETUP!$B$5))),"")</f>
        <v/>
      </c>
      <c r="F139" s="11" t="str">
        <f>IF($B139&gt;0,IF((1-(SETUP!$B$6+SETUP!$B$5+SETUP!$B$7))&lt;=0,"Check setup",IF(SETUP!$B$7=0,$E139,$B139/(1-(SETUP!$B$6+SETUP!$B$5+SETUP!$B$7)))),"")</f>
        <v/>
      </c>
      <c r="G139" s="11" t="str">
        <f>IF(LOWER(SETUP!$B$3)="yes",IF($E139="","",$E139*(1+SETUP!$B$4)),"")</f>
        <v/>
      </c>
      <c r="H139" s="11" t="str">
        <f>IF(LOWER(SETUP!$B$3)="yes",IF($F139="","",$F139*(1+SETUP!$B$4)),"")</f>
        <v/>
      </c>
      <c r="I139" s="12" t="str">
        <f>IF($C139&gt;0,($C139-$B139-($C139*SETUP!$B$5))/$C139,"")</f>
        <v/>
      </c>
      <c r="J139" s="11" t="e">
        <f>IF($E139&gt;0,$E139-$B139-($E139*SETUP!$B$5),"")</f>
        <v>#VALUE!</v>
      </c>
      <c r="K139" s="13" t="str">
        <f t="shared" si="4"/>
        <v/>
      </c>
    </row>
    <row r="140" spans="1:11" x14ac:dyDescent="0.3">
      <c r="A140" s="9"/>
      <c r="B140" s="10"/>
      <c r="C140" s="10"/>
      <c r="D140" s="11" t="str">
        <f>IF($B140&gt;0,$B140/(1-SETUP!$B$5),"")</f>
        <v/>
      </c>
      <c r="E140" s="11" t="str">
        <f>IF($B140&gt;0,IF((1-(SETUP!$B$6+SETUP!$B$5))&lt;=0,"Check setup",$B140/(1-(SETUP!$B$6+SETUP!$B$5))),"")</f>
        <v/>
      </c>
      <c r="F140" s="11" t="str">
        <f>IF($B140&gt;0,IF((1-(SETUP!$B$6+SETUP!$B$5+SETUP!$B$7))&lt;=0,"Check setup",IF(SETUP!$B$7=0,$E140,$B140/(1-(SETUP!$B$6+SETUP!$B$5+SETUP!$B$7)))),"")</f>
        <v/>
      </c>
      <c r="G140" s="11" t="str">
        <f>IF(LOWER(SETUP!$B$3)="yes",IF($E140="","",$E140*(1+SETUP!$B$4)),"")</f>
        <v/>
      </c>
      <c r="H140" s="11" t="str">
        <f>IF(LOWER(SETUP!$B$3)="yes",IF($F140="","",$F140*(1+SETUP!$B$4)),"")</f>
        <v/>
      </c>
      <c r="I140" s="12" t="str">
        <f>IF($C140&gt;0,($C140-$B140-($C140*SETUP!$B$5))/$C140,"")</f>
        <v/>
      </c>
      <c r="J140" s="11" t="e">
        <f>IF($E140&gt;0,$E140-$B140-($E140*SETUP!$B$5),"")</f>
        <v>#VALUE!</v>
      </c>
      <c r="K140" s="13" t="str">
        <f t="shared" si="4"/>
        <v/>
      </c>
    </row>
    <row r="141" spans="1:11" x14ac:dyDescent="0.3">
      <c r="A141" s="9"/>
      <c r="B141" s="10"/>
      <c r="C141" s="10"/>
      <c r="D141" s="11" t="str">
        <f>IF($B141&gt;0,$B141/(1-SETUP!$B$5),"")</f>
        <v/>
      </c>
      <c r="E141" s="11" t="str">
        <f>IF($B141&gt;0,IF((1-(SETUP!$B$6+SETUP!$B$5))&lt;=0,"Check setup",$B141/(1-(SETUP!$B$6+SETUP!$B$5))),"")</f>
        <v/>
      </c>
      <c r="F141" s="11" t="str">
        <f>IF($B141&gt;0,IF((1-(SETUP!$B$6+SETUP!$B$5+SETUP!$B$7))&lt;=0,"Check setup",IF(SETUP!$B$7=0,$E141,$B141/(1-(SETUP!$B$6+SETUP!$B$5+SETUP!$B$7)))),"")</f>
        <v/>
      </c>
      <c r="G141" s="11" t="str">
        <f>IF(LOWER(SETUP!$B$3)="yes",IF($E141="","",$E141*(1+SETUP!$B$4)),"")</f>
        <v/>
      </c>
      <c r="H141" s="11" t="str">
        <f>IF(LOWER(SETUP!$B$3)="yes",IF($F141="","",$F141*(1+SETUP!$B$4)),"")</f>
        <v/>
      </c>
      <c r="I141" s="12" t="str">
        <f>IF($C141&gt;0,($C141-$B141-($C141*SETUP!$B$5))/$C141,"")</f>
        <v/>
      </c>
      <c r="J141" s="11" t="e">
        <f>IF($E141&gt;0,$E141-$B141-($E141*SETUP!$B$5),"")</f>
        <v>#VALUE!</v>
      </c>
      <c r="K141" s="13" t="str">
        <f t="shared" si="4"/>
        <v/>
      </c>
    </row>
    <row r="142" spans="1:11" x14ac:dyDescent="0.3">
      <c r="A142" s="9"/>
      <c r="B142" s="10"/>
      <c r="C142" s="10"/>
      <c r="D142" s="11" t="str">
        <f>IF($B142&gt;0,$B142/(1-SETUP!$B$5),"")</f>
        <v/>
      </c>
      <c r="E142" s="11" t="str">
        <f>IF($B142&gt;0,IF((1-(SETUP!$B$6+SETUP!$B$5))&lt;=0,"Check setup",$B142/(1-(SETUP!$B$6+SETUP!$B$5))),"")</f>
        <v/>
      </c>
      <c r="F142" s="11" t="str">
        <f>IF($B142&gt;0,IF((1-(SETUP!$B$6+SETUP!$B$5+SETUP!$B$7))&lt;=0,"Check setup",IF(SETUP!$B$7=0,$E142,$B142/(1-(SETUP!$B$6+SETUP!$B$5+SETUP!$B$7)))),"")</f>
        <v/>
      </c>
      <c r="G142" s="11" t="str">
        <f>IF(LOWER(SETUP!$B$3)="yes",IF($E142="","",$E142*(1+SETUP!$B$4)),"")</f>
        <v/>
      </c>
      <c r="H142" s="11" t="str">
        <f>IF(LOWER(SETUP!$B$3)="yes",IF($F142="","",$F142*(1+SETUP!$B$4)),"")</f>
        <v/>
      </c>
      <c r="I142" s="12" t="str">
        <f>IF($C142&gt;0,($C142-$B142-($C142*SETUP!$B$5))/$C142,"")</f>
        <v/>
      </c>
      <c r="J142" s="11" t="e">
        <f>IF($E142&gt;0,$E142-$B142-($E142*SETUP!$B$5),"")</f>
        <v>#VALUE!</v>
      </c>
      <c r="K142" s="13" t="str">
        <f t="shared" si="4"/>
        <v/>
      </c>
    </row>
    <row r="143" spans="1:11" x14ac:dyDescent="0.3">
      <c r="A143" s="9"/>
      <c r="B143" s="10"/>
      <c r="C143" s="10"/>
      <c r="D143" s="11" t="str">
        <f>IF($B143&gt;0,$B143/(1-SETUP!$B$5),"")</f>
        <v/>
      </c>
      <c r="E143" s="11" t="str">
        <f>IF($B143&gt;0,IF((1-(SETUP!$B$6+SETUP!$B$5))&lt;=0,"Check setup",$B143/(1-(SETUP!$B$6+SETUP!$B$5))),"")</f>
        <v/>
      </c>
      <c r="F143" s="11" t="str">
        <f>IF($B143&gt;0,IF((1-(SETUP!$B$6+SETUP!$B$5+SETUP!$B$7))&lt;=0,"Check setup",IF(SETUP!$B$7=0,$E143,$B143/(1-(SETUP!$B$6+SETUP!$B$5+SETUP!$B$7)))),"")</f>
        <v/>
      </c>
      <c r="G143" s="11" t="str">
        <f>IF(LOWER(SETUP!$B$3)="yes",IF($E143="","",$E143*(1+SETUP!$B$4)),"")</f>
        <v/>
      </c>
      <c r="H143" s="11" t="str">
        <f>IF(LOWER(SETUP!$B$3)="yes",IF($F143="","",$F143*(1+SETUP!$B$4)),"")</f>
        <v/>
      </c>
      <c r="I143" s="12" t="str">
        <f>IF($C143&gt;0,($C143-$B143-($C143*SETUP!$B$5))/$C143,"")</f>
        <v/>
      </c>
      <c r="J143" s="11" t="e">
        <f>IF($E143&gt;0,$E143-$B143-($E143*SETUP!$B$5),"")</f>
        <v>#VALUE!</v>
      </c>
      <c r="K143" s="13" t="str">
        <f t="shared" si="4"/>
        <v/>
      </c>
    </row>
    <row r="144" spans="1:11" x14ac:dyDescent="0.3">
      <c r="A144" s="9"/>
      <c r="B144" s="10"/>
      <c r="C144" s="10"/>
      <c r="D144" s="11" t="str">
        <f>IF($B144&gt;0,$B144/(1-SETUP!$B$5),"")</f>
        <v/>
      </c>
      <c r="E144" s="11" t="str">
        <f>IF($B144&gt;0,IF((1-(SETUP!$B$6+SETUP!$B$5))&lt;=0,"Check setup",$B144/(1-(SETUP!$B$6+SETUP!$B$5))),"")</f>
        <v/>
      </c>
      <c r="F144" s="11" t="str">
        <f>IF($B144&gt;0,IF((1-(SETUP!$B$6+SETUP!$B$5+SETUP!$B$7))&lt;=0,"Check setup",IF(SETUP!$B$7=0,$E144,$B144/(1-(SETUP!$B$6+SETUP!$B$5+SETUP!$B$7)))),"")</f>
        <v/>
      </c>
      <c r="G144" s="11" t="str">
        <f>IF(LOWER(SETUP!$B$3)="yes",IF($E144="","",$E144*(1+SETUP!$B$4)),"")</f>
        <v/>
      </c>
      <c r="H144" s="11" t="str">
        <f>IF(LOWER(SETUP!$B$3)="yes",IF($F144="","",$F144*(1+SETUP!$B$4)),"")</f>
        <v/>
      </c>
      <c r="I144" s="12" t="str">
        <f>IF($C144&gt;0,($C144-$B144-($C144*SETUP!$B$5))/$C144,"")</f>
        <v/>
      </c>
      <c r="J144" s="11" t="e">
        <f>IF($E144&gt;0,$E144-$B144-($E144*SETUP!$B$5),"")</f>
        <v>#VALUE!</v>
      </c>
      <c r="K144" s="13" t="str">
        <f t="shared" si="4"/>
        <v/>
      </c>
    </row>
    <row r="145" spans="1:11" x14ac:dyDescent="0.3">
      <c r="A145" s="9"/>
      <c r="B145" s="10"/>
      <c r="C145" s="10"/>
      <c r="D145" s="11" t="str">
        <f>IF($B145&gt;0,$B145/(1-SETUP!$B$5),"")</f>
        <v/>
      </c>
      <c r="E145" s="11" t="str">
        <f>IF($B145&gt;0,IF((1-(SETUP!$B$6+SETUP!$B$5))&lt;=0,"Check setup",$B145/(1-(SETUP!$B$6+SETUP!$B$5))),"")</f>
        <v/>
      </c>
      <c r="F145" s="11" t="str">
        <f>IF($B145&gt;0,IF((1-(SETUP!$B$6+SETUP!$B$5+SETUP!$B$7))&lt;=0,"Check setup",IF(SETUP!$B$7=0,$E145,$B145/(1-(SETUP!$B$6+SETUP!$B$5+SETUP!$B$7)))),"")</f>
        <v/>
      </c>
      <c r="G145" s="11" t="str">
        <f>IF(LOWER(SETUP!$B$3)="yes",IF($E145="","",$E145*(1+SETUP!$B$4)),"")</f>
        <v/>
      </c>
      <c r="H145" s="11" t="str">
        <f>IF(LOWER(SETUP!$B$3)="yes",IF($F145="","",$F145*(1+SETUP!$B$4)),"")</f>
        <v/>
      </c>
      <c r="I145" s="12" t="str">
        <f>IF($C145&gt;0,($C145-$B145-($C145*SETUP!$B$5))/$C145,"")</f>
        <v/>
      </c>
      <c r="J145" s="11" t="e">
        <f>IF($E145&gt;0,$E145-$B145-($E145*SETUP!$B$5),"")</f>
        <v>#VALUE!</v>
      </c>
      <c r="K145" s="13" t="str">
        <f t="shared" si="4"/>
        <v/>
      </c>
    </row>
    <row r="146" spans="1:11" x14ac:dyDescent="0.3">
      <c r="A146" s="9"/>
      <c r="B146" s="10"/>
      <c r="C146" s="10"/>
      <c r="D146" s="11" t="str">
        <f>IF($B146&gt;0,$B146/(1-SETUP!$B$5),"")</f>
        <v/>
      </c>
      <c r="E146" s="11" t="str">
        <f>IF($B146&gt;0,IF((1-(SETUP!$B$6+SETUP!$B$5))&lt;=0,"Check setup",$B146/(1-(SETUP!$B$6+SETUP!$B$5))),"")</f>
        <v/>
      </c>
      <c r="F146" s="11" t="str">
        <f>IF($B146&gt;0,IF((1-(SETUP!$B$6+SETUP!$B$5+SETUP!$B$7))&lt;=0,"Check setup",IF(SETUP!$B$7=0,$E146,$B146/(1-(SETUP!$B$6+SETUP!$B$5+SETUP!$B$7)))),"")</f>
        <v/>
      </c>
      <c r="G146" s="11" t="str">
        <f>IF(LOWER(SETUP!$B$3)="yes",IF($E146="","",$E146*(1+SETUP!$B$4)),"")</f>
        <v/>
      </c>
      <c r="H146" s="11" t="str">
        <f>IF(LOWER(SETUP!$B$3)="yes",IF($F146="","",$F146*(1+SETUP!$B$4)),"")</f>
        <v/>
      </c>
      <c r="I146" s="12" t="str">
        <f>IF($C146&gt;0,($C146-$B146-($C146*SETUP!$B$5))/$C146,"")</f>
        <v/>
      </c>
      <c r="J146" s="11" t="e">
        <f>IF($E146&gt;0,$E146-$B146-($E146*SETUP!$B$5),"")</f>
        <v>#VALUE!</v>
      </c>
      <c r="K146" s="13" t="str">
        <f t="shared" si="4"/>
        <v/>
      </c>
    </row>
    <row r="147" spans="1:11" x14ac:dyDescent="0.3">
      <c r="A147" s="9"/>
      <c r="B147" s="10"/>
      <c r="C147" s="10"/>
      <c r="D147" s="11" t="str">
        <f>IF($B147&gt;0,$B147/(1-SETUP!$B$5),"")</f>
        <v/>
      </c>
      <c r="E147" s="11" t="str">
        <f>IF($B147&gt;0,IF((1-(SETUP!$B$6+SETUP!$B$5))&lt;=0,"Check setup",$B147/(1-(SETUP!$B$6+SETUP!$B$5))),"")</f>
        <v/>
      </c>
      <c r="F147" s="11" t="str">
        <f>IF($B147&gt;0,IF((1-(SETUP!$B$6+SETUP!$B$5+SETUP!$B$7))&lt;=0,"Check setup",IF(SETUP!$B$7=0,$E147,$B147/(1-(SETUP!$B$6+SETUP!$B$5+SETUP!$B$7)))),"")</f>
        <v/>
      </c>
      <c r="G147" s="11" t="str">
        <f>IF(LOWER(SETUP!$B$3)="yes",IF($E147="","",$E147*(1+SETUP!$B$4)),"")</f>
        <v/>
      </c>
      <c r="H147" s="11" t="str">
        <f>IF(LOWER(SETUP!$B$3)="yes",IF($F147="","",$F147*(1+SETUP!$B$4)),"")</f>
        <v/>
      </c>
      <c r="I147" s="12" t="str">
        <f>IF($C147&gt;0,($C147-$B147-($C147*SETUP!$B$5))/$C147,"")</f>
        <v/>
      </c>
      <c r="J147" s="11" t="e">
        <f>IF($E147&gt;0,$E147-$B147-($E147*SETUP!$B$5),"")</f>
        <v>#VALUE!</v>
      </c>
      <c r="K147" s="13" t="str">
        <f t="shared" si="4"/>
        <v/>
      </c>
    </row>
    <row r="148" spans="1:11" x14ac:dyDescent="0.3">
      <c r="A148" s="9"/>
      <c r="B148" s="10"/>
      <c r="C148" s="10"/>
      <c r="D148" s="11" t="str">
        <f>IF($B148&gt;0,$B148/(1-SETUP!$B$5),"")</f>
        <v/>
      </c>
      <c r="E148" s="11" t="str">
        <f>IF($B148&gt;0,IF((1-(SETUP!$B$6+SETUP!$B$5))&lt;=0,"Check setup",$B148/(1-(SETUP!$B$6+SETUP!$B$5))),"")</f>
        <v/>
      </c>
      <c r="F148" s="11" t="str">
        <f>IF($B148&gt;0,IF((1-(SETUP!$B$6+SETUP!$B$5+SETUP!$B$7))&lt;=0,"Check setup",IF(SETUP!$B$7=0,$E148,$B148/(1-(SETUP!$B$6+SETUP!$B$5+SETUP!$B$7)))),"")</f>
        <v/>
      </c>
      <c r="G148" s="11" t="str">
        <f>IF(LOWER(SETUP!$B$3)="yes",IF($E148="","",$E148*(1+SETUP!$B$4)),"")</f>
        <v/>
      </c>
      <c r="H148" s="11" t="str">
        <f>IF(LOWER(SETUP!$B$3)="yes",IF($F148="","",$F148*(1+SETUP!$B$4)),"")</f>
        <v/>
      </c>
      <c r="I148" s="12" t="str">
        <f>IF($C148&gt;0,($C148-$B148-($C148*SETUP!$B$5))/$C148,"")</f>
        <v/>
      </c>
      <c r="J148" s="11" t="e">
        <f>IF($E148&gt;0,$E148-$B148-($E148*SETUP!$B$5),"")</f>
        <v>#VALUE!</v>
      </c>
      <c r="K148" s="13" t="str">
        <f t="shared" si="4"/>
        <v/>
      </c>
    </row>
    <row r="149" spans="1:11" x14ac:dyDescent="0.3">
      <c r="A149" s="9"/>
      <c r="B149" s="10"/>
      <c r="C149" s="10"/>
      <c r="D149" s="11" t="str">
        <f>IF($B149&gt;0,$B149/(1-SETUP!$B$5),"")</f>
        <v/>
      </c>
      <c r="E149" s="11" t="str">
        <f>IF($B149&gt;0,IF((1-(SETUP!$B$6+SETUP!$B$5))&lt;=0,"Check setup",$B149/(1-(SETUP!$B$6+SETUP!$B$5))),"")</f>
        <v/>
      </c>
      <c r="F149" s="11" t="str">
        <f>IF($B149&gt;0,IF((1-(SETUP!$B$6+SETUP!$B$5+SETUP!$B$7))&lt;=0,"Check setup",IF(SETUP!$B$7=0,$E149,$B149/(1-(SETUP!$B$6+SETUP!$B$5+SETUP!$B$7)))),"")</f>
        <v/>
      </c>
      <c r="G149" s="11" t="str">
        <f>IF(LOWER(SETUP!$B$3)="yes",IF($E149="","",$E149*(1+SETUP!$B$4)),"")</f>
        <v/>
      </c>
      <c r="H149" s="11" t="str">
        <f>IF(LOWER(SETUP!$B$3)="yes",IF($F149="","",$F149*(1+SETUP!$B$4)),"")</f>
        <v/>
      </c>
      <c r="I149" s="12" t="str">
        <f>IF($C149&gt;0,($C149-$B149-($C149*SETUP!$B$5))/$C149,"")</f>
        <v/>
      </c>
      <c r="J149" s="11" t="e">
        <f>IF($E149&gt;0,$E149-$B149-($E149*SETUP!$B$5),"")</f>
        <v>#VALUE!</v>
      </c>
      <c r="K149" s="13" t="str">
        <f t="shared" si="4"/>
        <v/>
      </c>
    </row>
    <row r="150" spans="1:11" x14ac:dyDescent="0.3">
      <c r="A150" s="9"/>
      <c r="B150" s="10"/>
      <c r="C150" s="10"/>
      <c r="D150" s="11" t="str">
        <f>IF($B150&gt;0,$B150/(1-SETUP!$B$5),"")</f>
        <v/>
      </c>
      <c r="E150" s="11" t="str">
        <f>IF($B150&gt;0,IF((1-(SETUP!$B$6+SETUP!$B$5))&lt;=0,"Check setup",$B150/(1-(SETUP!$B$6+SETUP!$B$5))),"")</f>
        <v/>
      </c>
      <c r="F150" s="11" t="str">
        <f>IF($B150&gt;0,IF((1-(SETUP!$B$6+SETUP!$B$5+SETUP!$B$7))&lt;=0,"Check setup",IF(SETUP!$B$7=0,$E150,$B150/(1-(SETUP!$B$6+SETUP!$B$5+SETUP!$B$7)))),"")</f>
        <v/>
      </c>
      <c r="G150" s="11" t="str">
        <f>IF(LOWER(SETUP!$B$3)="yes",IF($E150="","",$E150*(1+SETUP!$B$4)),"")</f>
        <v/>
      </c>
      <c r="H150" s="11" t="str">
        <f>IF(LOWER(SETUP!$B$3)="yes",IF($F150="","",$F150*(1+SETUP!$B$4)),"")</f>
        <v/>
      </c>
      <c r="I150" s="12" t="str">
        <f>IF($C150&gt;0,($C150-$B150-($C150*SETUP!$B$5))/$C150,"")</f>
        <v/>
      </c>
      <c r="J150" s="11" t="e">
        <f>IF($E150&gt;0,$E150-$B150-($E150*SETUP!$B$5),"")</f>
        <v>#VALUE!</v>
      </c>
      <c r="K150" s="13" t="str">
        <f t="shared" si="4"/>
        <v/>
      </c>
    </row>
    <row r="151" spans="1:11" x14ac:dyDescent="0.3">
      <c r="A151" s="9"/>
      <c r="B151" s="10"/>
      <c r="C151" s="10"/>
      <c r="D151" s="11" t="str">
        <f>IF($B151&gt;0,$B151/(1-SETUP!$B$5),"")</f>
        <v/>
      </c>
      <c r="E151" s="11" t="str">
        <f>IF($B151&gt;0,IF((1-(SETUP!$B$6+SETUP!$B$5))&lt;=0,"Check setup",$B151/(1-(SETUP!$B$6+SETUP!$B$5))),"")</f>
        <v/>
      </c>
      <c r="F151" s="11" t="str">
        <f>IF($B151&gt;0,IF((1-(SETUP!$B$6+SETUP!$B$5+SETUP!$B$7))&lt;=0,"Check setup",IF(SETUP!$B$7=0,$E151,$B151/(1-(SETUP!$B$6+SETUP!$B$5+SETUP!$B$7)))),"")</f>
        <v/>
      </c>
      <c r="G151" s="11" t="str">
        <f>IF(LOWER(SETUP!$B$3)="yes",IF($E151="","",$E151*(1+SETUP!$B$4)),"")</f>
        <v/>
      </c>
      <c r="H151" s="11" t="str">
        <f>IF(LOWER(SETUP!$B$3)="yes",IF($F151="","",$F151*(1+SETUP!$B$4)),"")</f>
        <v/>
      </c>
      <c r="I151" s="12" t="str">
        <f>IF($C151&gt;0,($C151-$B151-($C151*SETUP!$B$5))/$C151,"")</f>
        <v/>
      </c>
      <c r="J151" s="11" t="e">
        <f>IF($E151&gt;0,$E151-$B151-($E151*SETUP!$B$5),"")</f>
        <v>#VALUE!</v>
      </c>
      <c r="K151" s="13" t="str">
        <f t="shared" si="4"/>
        <v/>
      </c>
    </row>
    <row r="152" spans="1:11" x14ac:dyDescent="0.3">
      <c r="A152" s="9"/>
      <c r="B152" s="10"/>
      <c r="C152" s="10"/>
      <c r="D152" s="11" t="str">
        <f>IF($B152&gt;0,$B152/(1-SETUP!$B$5),"")</f>
        <v/>
      </c>
      <c r="E152" s="11" t="str">
        <f>IF($B152&gt;0,IF((1-(SETUP!$B$6+SETUP!$B$5))&lt;=0,"Check setup",$B152/(1-(SETUP!$B$6+SETUP!$B$5))),"")</f>
        <v/>
      </c>
      <c r="F152" s="11" t="str">
        <f>IF($B152&gt;0,IF((1-(SETUP!$B$6+SETUP!$B$5+SETUP!$B$7))&lt;=0,"Check setup",IF(SETUP!$B$7=0,$E152,$B152/(1-(SETUP!$B$6+SETUP!$B$5+SETUP!$B$7)))),"")</f>
        <v/>
      </c>
      <c r="G152" s="11" t="str">
        <f>IF(LOWER(SETUP!$B$3)="yes",IF($E152="","",$E152*(1+SETUP!$B$4)),"")</f>
        <v/>
      </c>
      <c r="H152" s="11" t="str">
        <f>IF(LOWER(SETUP!$B$3)="yes",IF($F152="","",$F152*(1+SETUP!$B$4)),"")</f>
        <v/>
      </c>
      <c r="I152" s="12" t="str">
        <f>IF($C152&gt;0,($C152-$B152-($C152*SETUP!$B$5))/$C152,"")</f>
        <v/>
      </c>
      <c r="J152" s="11" t="e">
        <f>IF($E152&gt;0,$E152-$B152-($E152*SETUP!$B$5),"")</f>
        <v>#VALUE!</v>
      </c>
      <c r="K152" s="13" t="str">
        <f t="shared" si="4"/>
        <v/>
      </c>
    </row>
    <row r="153" spans="1:11" x14ac:dyDescent="0.3">
      <c r="A153" s="9"/>
      <c r="B153" s="10"/>
      <c r="C153" s="10"/>
      <c r="D153" s="11" t="str">
        <f>IF($B153&gt;0,$B153/(1-SETUP!$B$5),"")</f>
        <v/>
      </c>
      <c r="E153" s="11" t="str">
        <f>IF($B153&gt;0,IF((1-(SETUP!$B$6+SETUP!$B$5))&lt;=0,"Check setup",$B153/(1-(SETUP!$B$6+SETUP!$B$5))),"")</f>
        <v/>
      </c>
      <c r="F153" s="11" t="str">
        <f>IF($B153&gt;0,IF((1-(SETUP!$B$6+SETUP!$B$5+SETUP!$B$7))&lt;=0,"Check setup",IF(SETUP!$B$7=0,$E153,$B153/(1-(SETUP!$B$6+SETUP!$B$5+SETUP!$B$7)))),"")</f>
        <v/>
      </c>
      <c r="G153" s="11" t="str">
        <f>IF(LOWER(SETUP!$B$3)="yes",IF($E153="","",$E153*(1+SETUP!$B$4)),"")</f>
        <v/>
      </c>
      <c r="H153" s="11" t="str">
        <f>IF(LOWER(SETUP!$B$3)="yes",IF($F153="","",$F153*(1+SETUP!$B$4)),"")</f>
        <v/>
      </c>
      <c r="I153" s="12" t="str">
        <f>IF($C153&gt;0,($C153-$B153-($C153*SETUP!$B$5))/$C153,"")</f>
        <v/>
      </c>
      <c r="J153" s="11" t="e">
        <f>IF($E153&gt;0,$E153-$B153-($E153*SETUP!$B$5),"")</f>
        <v>#VALUE!</v>
      </c>
      <c r="K153" s="13" t="str">
        <f t="shared" si="4"/>
        <v/>
      </c>
    </row>
    <row r="154" spans="1:11" x14ac:dyDescent="0.3">
      <c r="A154" s="9"/>
      <c r="B154" s="10"/>
      <c r="C154" s="10"/>
      <c r="D154" s="11" t="str">
        <f>IF($B154&gt;0,$B154/(1-SETUP!$B$5),"")</f>
        <v/>
      </c>
      <c r="E154" s="11" t="str">
        <f>IF($B154&gt;0,IF((1-(SETUP!$B$6+SETUP!$B$5))&lt;=0,"Check setup",$B154/(1-(SETUP!$B$6+SETUP!$B$5))),"")</f>
        <v/>
      </c>
      <c r="F154" s="11" t="str">
        <f>IF($B154&gt;0,IF((1-(SETUP!$B$6+SETUP!$B$5+SETUP!$B$7))&lt;=0,"Check setup",IF(SETUP!$B$7=0,$E154,$B154/(1-(SETUP!$B$6+SETUP!$B$5+SETUP!$B$7)))),"")</f>
        <v/>
      </c>
      <c r="G154" s="11" t="str">
        <f>IF(LOWER(SETUP!$B$3)="yes",IF($E154="","",$E154*(1+SETUP!$B$4)),"")</f>
        <v/>
      </c>
      <c r="H154" s="11" t="str">
        <f>IF(LOWER(SETUP!$B$3)="yes",IF($F154="","",$F154*(1+SETUP!$B$4)),"")</f>
        <v/>
      </c>
      <c r="I154" s="12" t="str">
        <f>IF($C154&gt;0,($C154-$B154-($C154*SETUP!$B$5))/$C154,"")</f>
        <v/>
      </c>
      <c r="J154" s="11" t="e">
        <f>IF($E154&gt;0,$E154-$B154-($E154*SETUP!$B$5),"")</f>
        <v>#VALUE!</v>
      </c>
      <c r="K154" s="13" t="str">
        <f t="shared" si="4"/>
        <v/>
      </c>
    </row>
    <row r="155" spans="1:11" x14ac:dyDescent="0.3">
      <c r="A155" s="9"/>
      <c r="B155" s="10"/>
      <c r="C155" s="10"/>
      <c r="D155" s="11" t="str">
        <f>IF($B155&gt;0,$B155/(1-SETUP!$B$5),"")</f>
        <v/>
      </c>
      <c r="E155" s="11" t="str">
        <f>IF($B155&gt;0,IF((1-(SETUP!$B$6+SETUP!$B$5))&lt;=0,"Check setup",$B155/(1-(SETUP!$B$6+SETUP!$B$5))),"")</f>
        <v/>
      </c>
      <c r="F155" s="11" t="str">
        <f>IF($B155&gt;0,IF((1-(SETUP!$B$6+SETUP!$B$5+SETUP!$B$7))&lt;=0,"Check setup",IF(SETUP!$B$7=0,$E155,$B155/(1-(SETUP!$B$6+SETUP!$B$5+SETUP!$B$7)))),"")</f>
        <v/>
      </c>
      <c r="G155" s="11" t="str">
        <f>IF(LOWER(SETUP!$B$3)="yes",IF($E155="","",$E155*(1+SETUP!$B$4)),"")</f>
        <v/>
      </c>
      <c r="H155" s="11" t="str">
        <f>IF(LOWER(SETUP!$B$3)="yes",IF($F155="","",$F155*(1+SETUP!$B$4)),"")</f>
        <v/>
      </c>
      <c r="I155" s="12" t="str">
        <f>IF($C155&gt;0,($C155-$B155-($C155*SETUP!$B$5))/$C155,"")</f>
        <v/>
      </c>
      <c r="J155" s="11" t="e">
        <f>IF($E155&gt;0,$E155-$B155-($E155*SETUP!$B$5),"")</f>
        <v>#VALUE!</v>
      </c>
      <c r="K155" s="13" t="str">
        <f t="shared" si="4"/>
        <v/>
      </c>
    </row>
    <row r="156" spans="1:11" x14ac:dyDescent="0.3">
      <c r="A156" s="9"/>
      <c r="B156" s="10"/>
      <c r="C156" s="10"/>
      <c r="D156" s="11" t="str">
        <f>IF($B156&gt;0,$B156/(1-SETUP!$B$5),"")</f>
        <v/>
      </c>
      <c r="E156" s="11" t="str">
        <f>IF($B156&gt;0,IF((1-(SETUP!$B$6+SETUP!$B$5))&lt;=0,"Check setup",$B156/(1-(SETUP!$B$6+SETUP!$B$5))),"")</f>
        <v/>
      </c>
      <c r="F156" s="11" t="str">
        <f>IF($B156&gt;0,IF((1-(SETUP!$B$6+SETUP!$B$5+SETUP!$B$7))&lt;=0,"Check setup",IF(SETUP!$B$7=0,$E156,$B156/(1-(SETUP!$B$6+SETUP!$B$5+SETUP!$B$7)))),"")</f>
        <v/>
      </c>
      <c r="G156" s="11" t="str">
        <f>IF(LOWER(SETUP!$B$3)="yes",IF($E156="","",$E156*(1+SETUP!$B$4)),"")</f>
        <v/>
      </c>
      <c r="H156" s="11" t="str">
        <f>IF(LOWER(SETUP!$B$3)="yes",IF($F156="","",$F156*(1+SETUP!$B$4)),"")</f>
        <v/>
      </c>
      <c r="I156" s="12" t="str">
        <f>IF($C156&gt;0,($C156-$B156-($C156*SETUP!$B$5))/$C156,"")</f>
        <v/>
      </c>
      <c r="J156" s="11" t="e">
        <f>IF($E156&gt;0,$E156-$B156-($E156*SETUP!$B$5),"")</f>
        <v>#VALUE!</v>
      </c>
      <c r="K156" s="13" t="str">
        <f t="shared" si="4"/>
        <v/>
      </c>
    </row>
    <row r="157" spans="1:11" x14ac:dyDescent="0.3">
      <c r="A157" s="9"/>
      <c r="B157" s="10"/>
      <c r="C157" s="10"/>
      <c r="D157" s="11" t="str">
        <f>IF($B157&gt;0,$B157/(1-SETUP!$B$5),"")</f>
        <v/>
      </c>
      <c r="E157" s="11" t="str">
        <f>IF($B157&gt;0,IF((1-(SETUP!$B$6+SETUP!$B$5))&lt;=0,"Check setup",$B157/(1-(SETUP!$B$6+SETUP!$B$5))),"")</f>
        <v/>
      </c>
      <c r="F157" s="11" t="str">
        <f>IF($B157&gt;0,IF((1-(SETUP!$B$6+SETUP!$B$5+SETUP!$B$7))&lt;=0,"Check setup",IF(SETUP!$B$7=0,$E157,$B157/(1-(SETUP!$B$6+SETUP!$B$5+SETUP!$B$7)))),"")</f>
        <v/>
      </c>
      <c r="G157" s="11" t="str">
        <f>IF(LOWER(SETUP!$B$3)="yes",IF($E157="","",$E157*(1+SETUP!$B$4)),"")</f>
        <v/>
      </c>
      <c r="H157" s="11" t="str">
        <f>IF(LOWER(SETUP!$B$3)="yes",IF($F157="","",$F157*(1+SETUP!$B$4)),"")</f>
        <v/>
      </c>
      <c r="I157" s="12" t="str">
        <f>IF($C157&gt;0,($C157-$B157-($C157*SETUP!$B$5))/$C157,"")</f>
        <v/>
      </c>
      <c r="J157" s="11" t="e">
        <f>IF($E157&gt;0,$E157-$B157-($E157*SETUP!$B$5),"")</f>
        <v>#VALUE!</v>
      </c>
      <c r="K157" s="13" t="str">
        <f t="shared" si="4"/>
        <v/>
      </c>
    </row>
    <row r="158" spans="1:11" x14ac:dyDescent="0.3">
      <c r="A158" s="9"/>
      <c r="B158" s="10"/>
      <c r="C158" s="10"/>
      <c r="D158" s="11" t="str">
        <f>IF($B158&gt;0,$B158/(1-SETUP!$B$5),"")</f>
        <v/>
      </c>
      <c r="E158" s="11" t="str">
        <f>IF($B158&gt;0,IF((1-(SETUP!$B$6+SETUP!$B$5))&lt;=0,"Check setup",$B158/(1-(SETUP!$B$6+SETUP!$B$5))),"")</f>
        <v/>
      </c>
      <c r="F158" s="11" t="str">
        <f>IF($B158&gt;0,IF((1-(SETUP!$B$6+SETUP!$B$5+SETUP!$B$7))&lt;=0,"Check setup",IF(SETUP!$B$7=0,$E158,$B158/(1-(SETUP!$B$6+SETUP!$B$5+SETUP!$B$7)))),"")</f>
        <v/>
      </c>
      <c r="G158" s="11" t="str">
        <f>IF(LOWER(SETUP!$B$3)="yes",IF($E158="","",$E158*(1+SETUP!$B$4)),"")</f>
        <v/>
      </c>
      <c r="H158" s="11" t="str">
        <f>IF(LOWER(SETUP!$B$3)="yes",IF($F158="","",$F158*(1+SETUP!$B$4)),"")</f>
        <v/>
      </c>
      <c r="I158" s="12" t="str">
        <f>IF($C158&gt;0,($C158-$B158-($C158*SETUP!$B$5))/$C158,"")</f>
        <v/>
      </c>
      <c r="J158" s="11" t="e">
        <f>IF($E158&gt;0,$E158-$B158-($E158*SETUP!$B$5),"")</f>
        <v>#VALUE!</v>
      </c>
      <c r="K158" s="13" t="str">
        <f t="shared" si="4"/>
        <v/>
      </c>
    </row>
    <row r="159" spans="1:11" x14ac:dyDescent="0.3">
      <c r="A159" s="9"/>
      <c r="B159" s="10"/>
      <c r="C159" s="10"/>
      <c r="D159" s="11" t="str">
        <f>IF($B159&gt;0,$B159/(1-SETUP!$B$5),"")</f>
        <v/>
      </c>
      <c r="E159" s="11" t="str">
        <f>IF($B159&gt;0,IF((1-(SETUP!$B$6+SETUP!$B$5))&lt;=0,"Check setup",$B159/(1-(SETUP!$B$6+SETUP!$B$5))),"")</f>
        <v/>
      </c>
      <c r="F159" s="11" t="str">
        <f>IF($B159&gt;0,IF((1-(SETUP!$B$6+SETUP!$B$5+SETUP!$B$7))&lt;=0,"Check setup",IF(SETUP!$B$7=0,$E159,$B159/(1-(SETUP!$B$6+SETUP!$B$5+SETUP!$B$7)))),"")</f>
        <v/>
      </c>
      <c r="G159" s="11" t="str">
        <f>IF(LOWER(SETUP!$B$3)="yes",IF($E159="","",$E159*(1+SETUP!$B$4)),"")</f>
        <v/>
      </c>
      <c r="H159" s="11" t="str">
        <f>IF(LOWER(SETUP!$B$3)="yes",IF($F159="","",$F159*(1+SETUP!$B$4)),"")</f>
        <v/>
      </c>
      <c r="I159" s="12" t="str">
        <f>IF($C159&gt;0,($C159-$B159-($C159*SETUP!$B$5))/$C159,"")</f>
        <v/>
      </c>
      <c r="J159" s="11" t="e">
        <f>IF($E159&gt;0,$E159-$B159-($E159*SETUP!$B$5),"")</f>
        <v>#VALUE!</v>
      </c>
      <c r="K159" s="13" t="str">
        <f t="shared" si="4"/>
        <v/>
      </c>
    </row>
    <row r="160" spans="1:11" x14ac:dyDescent="0.3">
      <c r="A160" s="9"/>
      <c r="B160" s="10"/>
      <c r="C160" s="10"/>
      <c r="D160" s="11" t="str">
        <f>IF($B160&gt;0,$B160/(1-SETUP!$B$5),"")</f>
        <v/>
      </c>
      <c r="E160" s="11" t="str">
        <f>IF($B160&gt;0,IF((1-(SETUP!$B$6+SETUP!$B$5))&lt;=0,"Check setup",$B160/(1-(SETUP!$B$6+SETUP!$B$5))),"")</f>
        <v/>
      </c>
      <c r="F160" s="11" t="str">
        <f>IF($B160&gt;0,IF((1-(SETUP!$B$6+SETUP!$B$5+SETUP!$B$7))&lt;=0,"Check setup",IF(SETUP!$B$7=0,$E160,$B160/(1-(SETUP!$B$6+SETUP!$B$5+SETUP!$B$7)))),"")</f>
        <v/>
      </c>
      <c r="G160" s="11" t="str">
        <f>IF(LOWER(SETUP!$B$3)="yes",IF($E160="","",$E160*(1+SETUP!$B$4)),"")</f>
        <v/>
      </c>
      <c r="H160" s="11" t="str">
        <f>IF(LOWER(SETUP!$B$3)="yes",IF($F160="","",$F160*(1+SETUP!$B$4)),"")</f>
        <v/>
      </c>
      <c r="I160" s="12" t="str">
        <f>IF($C160&gt;0,($C160-$B160-($C160*SETUP!$B$5))/$C160,"")</f>
        <v/>
      </c>
      <c r="J160" s="11" t="e">
        <f>IF($E160&gt;0,$E160-$B160-($E160*SETUP!$B$5),"")</f>
        <v>#VALUE!</v>
      </c>
      <c r="K160" s="13" t="str">
        <f t="shared" si="4"/>
        <v/>
      </c>
    </row>
    <row r="161" spans="1:11" x14ac:dyDescent="0.3">
      <c r="A161" s="9"/>
      <c r="B161" s="10"/>
      <c r="C161" s="10"/>
      <c r="D161" s="11" t="str">
        <f>IF($B161&gt;0,$B161/(1-SETUP!$B$5),"")</f>
        <v/>
      </c>
      <c r="E161" s="11" t="str">
        <f>IF($B161&gt;0,IF((1-(SETUP!$B$6+SETUP!$B$5))&lt;=0,"Check setup",$B161/(1-(SETUP!$B$6+SETUP!$B$5))),"")</f>
        <v/>
      </c>
      <c r="F161" s="11" t="str">
        <f>IF($B161&gt;0,IF((1-(SETUP!$B$6+SETUP!$B$5+SETUP!$B$7))&lt;=0,"Check setup",IF(SETUP!$B$7=0,$E161,$B161/(1-(SETUP!$B$6+SETUP!$B$5+SETUP!$B$7)))),"")</f>
        <v/>
      </c>
      <c r="G161" s="11" t="str">
        <f>IF(LOWER(SETUP!$B$3)="yes",IF($E161="","",$E161*(1+SETUP!$B$4)),"")</f>
        <v/>
      </c>
      <c r="H161" s="11" t="str">
        <f>IF(LOWER(SETUP!$B$3)="yes",IF($F161="","",$F161*(1+SETUP!$B$4)),"")</f>
        <v/>
      </c>
      <c r="I161" s="12" t="str">
        <f>IF($C161&gt;0,($C161-$B161-($C161*SETUP!$B$5))/$C161,"")</f>
        <v/>
      </c>
      <c r="J161" s="11" t="e">
        <f>IF($E161&gt;0,$E161-$B161-($E161*SETUP!$B$5),"")</f>
        <v>#VALUE!</v>
      </c>
      <c r="K161" s="13" t="str">
        <f t="shared" si="4"/>
        <v/>
      </c>
    </row>
    <row r="162" spans="1:11" x14ac:dyDescent="0.3">
      <c r="A162" s="9"/>
      <c r="B162" s="10"/>
      <c r="C162" s="10"/>
      <c r="D162" s="11" t="str">
        <f>IF($B162&gt;0,$B162/(1-SETUP!$B$5),"")</f>
        <v/>
      </c>
      <c r="E162" s="11" t="str">
        <f>IF($B162&gt;0,IF((1-(SETUP!$B$6+SETUP!$B$5))&lt;=0,"Check setup",$B162/(1-(SETUP!$B$6+SETUP!$B$5))),"")</f>
        <v/>
      </c>
      <c r="F162" s="11" t="str">
        <f>IF($B162&gt;0,IF((1-(SETUP!$B$6+SETUP!$B$5+SETUP!$B$7))&lt;=0,"Check setup",IF(SETUP!$B$7=0,$E162,$B162/(1-(SETUP!$B$6+SETUP!$B$5+SETUP!$B$7)))),"")</f>
        <v/>
      </c>
      <c r="G162" s="11" t="str">
        <f>IF(LOWER(SETUP!$B$3)="yes",IF($E162="","",$E162*(1+SETUP!$B$4)),"")</f>
        <v/>
      </c>
      <c r="H162" s="11" t="str">
        <f>IF(LOWER(SETUP!$B$3)="yes",IF($F162="","",$F162*(1+SETUP!$B$4)),"")</f>
        <v/>
      </c>
      <c r="I162" s="12" t="str">
        <f>IF($C162&gt;0,($C162-$B162-($C162*SETUP!$B$5))/$C162,"")</f>
        <v/>
      </c>
      <c r="J162" s="11" t="e">
        <f>IF($E162&gt;0,$E162-$B162-($E162*SETUP!$B$5),"")</f>
        <v>#VALUE!</v>
      </c>
      <c r="K162" s="13" t="str">
        <f t="shared" si="4"/>
        <v/>
      </c>
    </row>
    <row r="163" spans="1:11" x14ac:dyDescent="0.3">
      <c r="A163" s="9"/>
      <c r="B163" s="10"/>
      <c r="C163" s="10"/>
      <c r="D163" s="11" t="str">
        <f>IF($B163&gt;0,$B163/(1-SETUP!$B$5),"")</f>
        <v/>
      </c>
      <c r="E163" s="11" t="str">
        <f>IF($B163&gt;0,IF((1-(SETUP!$B$6+SETUP!$B$5))&lt;=0,"Check setup",$B163/(1-(SETUP!$B$6+SETUP!$B$5))),"")</f>
        <v/>
      </c>
      <c r="F163" s="11" t="str">
        <f>IF($B163&gt;0,IF((1-(SETUP!$B$6+SETUP!$B$5+SETUP!$B$7))&lt;=0,"Check setup",IF(SETUP!$B$7=0,$E163,$B163/(1-(SETUP!$B$6+SETUP!$B$5+SETUP!$B$7)))),"")</f>
        <v/>
      </c>
      <c r="G163" s="11" t="str">
        <f>IF(LOWER(SETUP!$B$3)="yes",IF($E163="","",$E163*(1+SETUP!$B$4)),"")</f>
        <v/>
      </c>
      <c r="H163" s="11" t="str">
        <f>IF(LOWER(SETUP!$B$3)="yes",IF($F163="","",$F163*(1+SETUP!$B$4)),"")</f>
        <v/>
      </c>
      <c r="I163" s="12" t="str">
        <f>IF($C163&gt;0,($C163-$B163-($C163*SETUP!$B$5))/$C163,"")</f>
        <v/>
      </c>
      <c r="J163" s="11" t="e">
        <f>IF($E163&gt;0,$E163-$B163-($E163*SETUP!$B$5),"")</f>
        <v>#VALUE!</v>
      </c>
      <c r="K163" s="13" t="str">
        <f t="shared" si="4"/>
        <v/>
      </c>
    </row>
    <row r="164" spans="1:11" x14ac:dyDescent="0.3">
      <c r="A164" s="9"/>
      <c r="B164" s="10"/>
      <c r="C164" s="10"/>
      <c r="D164" s="11" t="str">
        <f>IF($B164&gt;0,$B164/(1-SETUP!$B$5),"")</f>
        <v/>
      </c>
      <c r="E164" s="11" t="str">
        <f>IF($B164&gt;0,IF((1-(SETUP!$B$6+SETUP!$B$5))&lt;=0,"Check setup",$B164/(1-(SETUP!$B$6+SETUP!$B$5))),"")</f>
        <v/>
      </c>
      <c r="F164" s="11" t="str">
        <f>IF($B164&gt;0,IF((1-(SETUP!$B$6+SETUP!$B$5+SETUP!$B$7))&lt;=0,"Check setup",IF(SETUP!$B$7=0,$E164,$B164/(1-(SETUP!$B$6+SETUP!$B$5+SETUP!$B$7)))),"")</f>
        <v/>
      </c>
      <c r="G164" s="11" t="str">
        <f>IF(LOWER(SETUP!$B$3)="yes",IF($E164="","",$E164*(1+SETUP!$B$4)),"")</f>
        <v/>
      </c>
      <c r="H164" s="11" t="str">
        <f>IF(LOWER(SETUP!$B$3)="yes",IF($F164="","",$F164*(1+SETUP!$B$4)),"")</f>
        <v/>
      </c>
      <c r="I164" s="12" t="str">
        <f>IF($C164&gt;0,($C164-$B164-($C164*SETUP!$B$5))/$C164,"")</f>
        <v/>
      </c>
      <c r="J164" s="11" t="e">
        <f>IF($E164&gt;0,$E164-$B164-($E164*SETUP!$B$5),"")</f>
        <v>#VALUE!</v>
      </c>
      <c r="K164" s="13" t="str">
        <f t="shared" ref="K164:K195" si="5">IF($C164&gt;0,IF($C164&lt;$E164,"YES","NO"),"")</f>
        <v/>
      </c>
    </row>
    <row r="165" spans="1:11" x14ac:dyDescent="0.3">
      <c r="A165" s="9"/>
      <c r="B165" s="10"/>
      <c r="C165" s="10"/>
      <c r="D165" s="11" t="str">
        <f>IF($B165&gt;0,$B165/(1-SETUP!$B$5),"")</f>
        <v/>
      </c>
      <c r="E165" s="11" t="str">
        <f>IF($B165&gt;0,IF((1-(SETUP!$B$6+SETUP!$B$5))&lt;=0,"Check setup",$B165/(1-(SETUP!$B$6+SETUP!$B$5))),"")</f>
        <v/>
      </c>
      <c r="F165" s="11" t="str">
        <f>IF($B165&gt;0,IF((1-(SETUP!$B$6+SETUP!$B$5+SETUP!$B$7))&lt;=0,"Check setup",IF(SETUP!$B$7=0,$E165,$B165/(1-(SETUP!$B$6+SETUP!$B$5+SETUP!$B$7)))),"")</f>
        <v/>
      </c>
      <c r="G165" s="11" t="str">
        <f>IF(LOWER(SETUP!$B$3)="yes",IF($E165="","",$E165*(1+SETUP!$B$4)),"")</f>
        <v/>
      </c>
      <c r="H165" s="11" t="str">
        <f>IF(LOWER(SETUP!$B$3)="yes",IF($F165="","",$F165*(1+SETUP!$B$4)),"")</f>
        <v/>
      </c>
      <c r="I165" s="12" t="str">
        <f>IF($C165&gt;0,($C165-$B165-($C165*SETUP!$B$5))/$C165,"")</f>
        <v/>
      </c>
      <c r="J165" s="11" t="e">
        <f>IF($E165&gt;0,$E165-$B165-($E165*SETUP!$B$5),"")</f>
        <v>#VALUE!</v>
      </c>
      <c r="K165" s="13" t="str">
        <f t="shared" si="5"/>
        <v/>
      </c>
    </row>
    <row r="166" spans="1:11" x14ac:dyDescent="0.3">
      <c r="A166" s="9"/>
      <c r="B166" s="10"/>
      <c r="C166" s="10"/>
      <c r="D166" s="11" t="str">
        <f>IF($B166&gt;0,$B166/(1-SETUP!$B$5),"")</f>
        <v/>
      </c>
      <c r="E166" s="11" t="str">
        <f>IF($B166&gt;0,IF((1-(SETUP!$B$6+SETUP!$B$5))&lt;=0,"Check setup",$B166/(1-(SETUP!$B$6+SETUP!$B$5))),"")</f>
        <v/>
      </c>
      <c r="F166" s="11" t="str">
        <f>IF($B166&gt;0,IF((1-(SETUP!$B$6+SETUP!$B$5+SETUP!$B$7))&lt;=0,"Check setup",IF(SETUP!$B$7=0,$E166,$B166/(1-(SETUP!$B$6+SETUP!$B$5+SETUP!$B$7)))),"")</f>
        <v/>
      </c>
      <c r="G166" s="11" t="str">
        <f>IF(LOWER(SETUP!$B$3)="yes",IF($E166="","",$E166*(1+SETUP!$B$4)),"")</f>
        <v/>
      </c>
      <c r="H166" s="11" t="str">
        <f>IF(LOWER(SETUP!$B$3)="yes",IF($F166="","",$F166*(1+SETUP!$B$4)),"")</f>
        <v/>
      </c>
      <c r="I166" s="12" t="str">
        <f>IF($C166&gt;0,($C166-$B166-($C166*SETUP!$B$5))/$C166,"")</f>
        <v/>
      </c>
      <c r="J166" s="11" t="e">
        <f>IF($E166&gt;0,$E166-$B166-($E166*SETUP!$B$5),"")</f>
        <v>#VALUE!</v>
      </c>
      <c r="K166" s="13" t="str">
        <f t="shared" si="5"/>
        <v/>
      </c>
    </row>
    <row r="167" spans="1:11" x14ac:dyDescent="0.3">
      <c r="A167" s="9"/>
      <c r="B167" s="10"/>
      <c r="C167" s="10"/>
      <c r="D167" s="11" t="str">
        <f>IF($B167&gt;0,$B167/(1-SETUP!$B$5),"")</f>
        <v/>
      </c>
      <c r="E167" s="11" t="str">
        <f>IF($B167&gt;0,IF((1-(SETUP!$B$6+SETUP!$B$5))&lt;=0,"Check setup",$B167/(1-(SETUP!$B$6+SETUP!$B$5))),"")</f>
        <v/>
      </c>
      <c r="F167" s="11" t="str">
        <f>IF($B167&gt;0,IF((1-(SETUP!$B$6+SETUP!$B$5+SETUP!$B$7))&lt;=0,"Check setup",IF(SETUP!$B$7=0,$E167,$B167/(1-(SETUP!$B$6+SETUP!$B$5+SETUP!$B$7)))),"")</f>
        <v/>
      </c>
      <c r="G167" s="11" t="str">
        <f>IF(LOWER(SETUP!$B$3)="yes",IF($E167="","",$E167*(1+SETUP!$B$4)),"")</f>
        <v/>
      </c>
      <c r="H167" s="11" t="str">
        <f>IF(LOWER(SETUP!$B$3)="yes",IF($F167="","",$F167*(1+SETUP!$B$4)),"")</f>
        <v/>
      </c>
      <c r="I167" s="12" t="str">
        <f>IF($C167&gt;0,($C167-$B167-($C167*SETUP!$B$5))/$C167,"")</f>
        <v/>
      </c>
      <c r="J167" s="11" t="e">
        <f>IF($E167&gt;0,$E167-$B167-($E167*SETUP!$B$5),"")</f>
        <v>#VALUE!</v>
      </c>
      <c r="K167" s="13" t="str">
        <f t="shared" si="5"/>
        <v/>
      </c>
    </row>
    <row r="168" spans="1:11" x14ac:dyDescent="0.3">
      <c r="A168" s="9"/>
      <c r="B168" s="10"/>
      <c r="C168" s="10"/>
      <c r="D168" s="11" t="str">
        <f>IF($B168&gt;0,$B168/(1-SETUP!$B$5),"")</f>
        <v/>
      </c>
      <c r="E168" s="11" t="str">
        <f>IF($B168&gt;0,IF((1-(SETUP!$B$6+SETUP!$B$5))&lt;=0,"Check setup",$B168/(1-(SETUP!$B$6+SETUP!$B$5))),"")</f>
        <v/>
      </c>
      <c r="F168" s="11" t="str">
        <f>IF($B168&gt;0,IF((1-(SETUP!$B$6+SETUP!$B$5+SETUP!$B$7))&lt;=0,"Check setup",IF(SETUP!$B$7=0,$E168,$B168/(1-(SETUP!$B$6+SETUP!$B$5+SETUP!$B$7)))),"")</f>
        <v/>
      </c>
      <c r="G168" s="11" t="str">
        <f>IF(LOWER(SETUP!$B$3)="yes",IF($E168="","",$E168*(1+SETUP!$B$4)),"")</f>
        <v/>
      </c>
      <c r="H168" s="11" t="str">
        <f>IF(LOWER(SETUP!$B$3)="yes",IF($F168="","",$F168*(1+SETUP!$B$4)),"")</f>
        <v/>
      </c>
      <c r="I168" s="12" t="str">
        <f>IF($C168&gt;0,($C168-$B168-($C168*SETUP!$B$5))/$C168,"")</f>
        <v/>
      </c>
      <c r="J168" s="11" t="e">
        <f>IF($E168&gt;0,$E168-$B168-($E168*SETUP!$B$5),"")</f>
        <v>#VALUE!</v>
      </c>
      <c r="K168" s="13" t="str">
        <f t="shared" si="5"/>
        <v/>
      </c>
    </row>
    <row r="169" spans="1:11" x14ac:dyDescent="0.3">
      <c r="A169" s="9"/>
      <c r="B169" s="10"/>
      <c r="C169" s="10"/>
      <c r="D169" s="11" t="str">
        <f>IF($B169&gt;0,$B169/(1-SETUP!$B$5),"")</f>
        <v/>
      </c>
      <c r="E169" s="11" t="str">
        <f>IF($B169&gt;0,IF((1-(SETUP!$B$6+SETUP!$B$5))&lt;=0,"Check setup",$B169/(1-(SETUP!$B$6+SETUP!$B$5))),"")</f>
        <v/>
      </c>
      <c r="F169" s="11" t="str">
        <f>IF($B169&gt;0,IF((1-(SETUP!$B$6+SETUP!$B$5+SETUP!$B$7))&lt;=0,"Check setup",IF(SETUP!$B$7=0,$E169,$B169/(1-(SETUP!$B$6+SETUP!$B$5+SETUP!$B$7)))),"")</f>
        <v/>
      </c>
      <c r="G169" s="11" t="str">
        <f>IF(LOWER(SETUP!$B$3)="yes",IF($E169="","",$E169*(1+SETUP!$B$4)),"")</f>
        <v/>
      </c>
      <c r="H169" s="11" t="str">
        <f>IF(LOWER(SETUP!$B$3)="yes",IF($F169="","",$F169*(1+SETUP!$B$4)),"")</f>
        <v/>
      </c>
      <c r="I169" s="12" t="str">
        <f>IF($C169&gt;0,($C169-$B169-($C169*SETUP!$B$5))/$C169,"")</f>
        <v/>
      </c>
      <c r="J169" s="11" t="e">
        <f>IF($E169&gt;0,$E169-$B169-($E169*SETUP!$B$5),"")</f>
        <v>#VALUE!</v>
      </c>
      <c r="K169" s="13" t="str">
        <f t="shared" si="5"/>
        <v/>
      </c>
    </row>
    <row r="170" spans="1:11" x14ac:dyDescent="0.3">
      <c r="A170" s="9"/>
      <c r="B170" s="10"/>
      <c r="C170" s="10"/>
      <c r="D170" s="11" t="str">
        <f>IF($B170&gt;0,$B170/(1-SETUP!$B$5),"")</f>
        <v/>
      </c>
      <c r="E170" s="11" t="str">
        <f>IF($B170&gt;0,IF((1-(SETUP!$B$6+SETUP!$B$5))&lt;=0,"Check setup",$B170/(1-(SETUP!$B$6+SETUP!$B$5))),"")</f>
        <v/>
      </c>
      <c r="F170" s="11" t="str">
        <f>IF($B170&gt;0,IF((1-(SETUP!$B$6+SETUP!$B$5+SETUP!$B$7))&lt;=0,"Check setup",IF(SETUP!$B$7=0,$E170,$B170/(1-(SETUP!$B$6+SETUP!$B$5+SETUP!$B$7)))),"")</f>
        <v/>
      </c>
      <c r="G170" s="11" t="str">
        <f>IF(LOWER(SETUP!$B$3)="yes",IF($E170="","",$E170*(1+SETUP!$B$4)),"")</f>
        <v/>
      </c>
      <c r="H170" s="11" t="str">
        <f>IF(LOWER(SETUP!$B$3)="yes",IF($F170="","",$F170*(1+SETUP!$B$4)),"")</f>
        <v/>
      </c>
      <c r="I170" s="12" t="str">
        <f>IF($C170&gt;0,($C170-$B170-($C170*SETUP!$B$5))/$C170,"")</f>
        <v/>
      </c>
      <c r="J170" s="11" t="e">
        <f>IF($E170&gt;0,$E170-$B170-($E170*SETUP!$B$5),"")</f>
        <v>#VALUE!</v>
      </c>
      <c r="K170" s="13" t="str">
        <f t="shared" si="5"/>
        <v/>
      </c>
    </row>
    <row r="171" spans="1:11" x14ac:dyDescent="0.3">
      <c r="A171" s="9"/>
      <c r="B171" s="10"/>
      <c r="C171" s="10"/>
      <c r="D171" s="11" t="str">
        <f>IF($B171&gt;0,$B171/(1-SETUP!$B$5),"")</f>
        <v/>
      </c>
      <c r="E171" s="11" t="str">
        <f>IF($B171&gt;0,IF((1-(SETUP!$B$6+SETUP!$B$5))&lt;=0,"Check setup",$B171/(1-(SETUP!$B$6+SETUP!$B$5))),"")</f>
        <v/>
      </c>
      <c r="F171" s="11" t="str">
        <f>IF($B171&gt;0,IF((1-(SETUP!$B$6+SETUP!$B$5+SETUP!$B$7))&lt;=0,"Check setup",IF(SETUP!$B$7=0,$E171,$B171/(1-(SETUP!$B$6+SETUP!$B$5+SETUP!$B$7)))),"")</f>
        <v/>
      </c>
      <c r="G171" s="11" t="str">
        <f>IF(LOWER(SETUP!$B$3)="yes",IF($E171="","",$E171*(1+SETUP!$B$4)),"")</f>
        <v/>
      </c>
      <c r="H171" s="11" t="str">
        <f>IF(LOWER(SETUP!$B$3)="yes",IF($F171="","",$F171*(1+SETUP!$B$4)),"")</f>
        <v/>
      </c>
      <c r="I171" s="12" t="str">
        <f>IF($C171&gt;0,($C171-$B171-($C171*SETUP!$B$5))/$C171,"")</f>
        <v/>
      </c>
      <c r="J171" s="11" t="e">
        <f>IF($E171&gt;0,$E171-$B171-($E171*SETUP!$B$5),"")</f>
        <v>#VALUE!</v>
      </c>
      <c r="K171" s="13" t="str">
        <f t="shared" si="5"/>
        <v/>
      </c>
    </row>
    <row r="172" spans="1:11" x14ac:dyDescent="0.3">
      <c r="A172" s="9"/>
      <c r="B172" s="10"/>
      <c r="C172" s="10"/>
      <c r="D172" s="11" t="str">
        <f>IF($B172&gt;0,$B172/(1-SETUP!$B$5),"")</f>
        <v/>
      </c>
      <c r="E172" s="11" t="str">
        <f>IF($B172&gt;0,IF((1-(SETUP!$B$6+SETUP!$B$5))&lt;=0,"Check setup",$B172/(1-(SETUP!$B$6+SETUP!$B$5))),"")</f>
        <v/>
      </c>
      <c r="F172" s="11" t="str">
        <f>IF($B172&gt;0,IF((1-(SETUP!$B$6+SETUP!$B$5+SETUP!$B$7))&lt;=0,"Check setup",IF(SETUP!$B$7=0,$E172,$B172/(1-(SETUP!$B$6+SETUP!$B$5+SETUP!$B$7)))),"")</f>
        <v/>
      </c>
      <c r="G172" s="11" t="str">
        <f>IF(LOWER(SETUP!$B$3)="yes",IF($E172="","",$E172*(1+SETUP!$B$4)),"")</f>
        <v/>
      </c>
      <c r="H172" s="11" t="str">
        <f>IF(LOWER(SETUP!$B$3)="yes",IF($F172="","",$F172*(1+SETUP!$B$4)),"")</f>
        <v/>
      </c>
      <c r="I172" s="12" t="str">
        <f>IF($C172&gt;0,($C172-$B172-($C172*SETUP!$B$5))/$C172,"")</f>
        <v/>
      </c>
      <c r="J172" s="11" t="e">
        <f>IF($E172&gt;0,$E172-$B172-($E172*SETUP!$B$5),"")</f>
        <v>#VALUE!</v>
      </c>
      <c r="K172" s="13" t="str">
        <f t="shared" si="5"/>
        <v/>
      </c>
    </row>
    <row r="173" spans="1:11" x14ac:dyDescent="0.3">
      <c r="A173" s="9"/>
      <c r="B173" s="10"/>
      <c r="C173" s="10"/>
      <c r="D173" s="11" t="str">
        <f>IF($B173&gt;0,$B173/(1-SETUP!$B$5),"")</f>
        <v/>
      </c>
      <c r="E173" s="11" t="str">
        <f>IF($B173&gt;0,IF((1-(SETUP!$B$6+SETUP!$B$5))&lt;=0,"Check setup",$B173/(1-(SETUP!$B$6+SETUP!$B$5))),"")</f>
        <v/>
      </c>
      <c r="F173" s="11" t="str">
        <f>IF($B173&gt;0,IF((1-(SETUP!$B$6+SETUP!$B$5+SETUP!$B$7))&lt;=0,"Check setup",IF(SETUP!$B$7=0,$E173,$B173/(1-(SETUP!$B$6+SETUP!$B$5+SETUP!$B$7)))),"")</f>
        <v/>
      </c>
      <c r="G173" s="11" t="str">
        <f>IF(LOWER(SETUP!$B$3)="yes",IF($E173="","",$E173*(1+SETUP!$B$4)),"")</f>
        <v/>
      </c>
      <c r="H173" s="11" t="str">
        <f>IF(LOWER(SETUP!$B$3)="yes",IF($F173="","",$F173*(1+SETUP!$B$4)),"")</f>
        <v/>
      </c>
      <c r="I173" s="12" t="str">
        <f>IF($C173&gt;0,($C173-$B173-($C173*SETUP!$B$5))/$C173,"")</f>
        <v/>
      </c>
      <c r="J173" s="11" t="e">
        <f>IF($E173&gt;0,$E173-$B173-($E173*SETUP!$B$5),"")</f>
        <v>#VALUE!</v>
      </c>
      <c r="K173" s="13" t="str">
        <f t="shared" si="5"/>
        <v/>
      </c>
    </row>
    <row r="174" spans="1:11" x14ac:dyDescent="0.3">
      <c r="A174" s="9"/>
      <c r="B174" s="10"/>
      <c r="C174" s="10"/>
      <c r="D174" s="11" t="str">
        <f>IF($B174&gt;0,$B174/(1-SETUP!$B$5),"")</f>
        <v/>
      </c>
      <c r="E174" s="11" t="str">
        <f>IF($B174&gt;0,IF((1-(SETUP!$B$6+SETUP!$B$5))&lt;=0,"Check setup",$B174/(1-(SETUP!$B$6+SETUP!$B$5))),"")</f>
        <v/>
      </c>
      <c r="F174" s="11" t="str">
        <f>IF($B174&gt;0,IF((1-(SETUP!$B$6+SETUP!$B$5+SETUP!$B$7))&lt;=0,"Check setup",IF(SETUP!$B$7=0,$E174,$B174/(1-(SETUP!$B$6+SETUP!$B$5+SETUP!$B$7)))),"")</f>
        <v/>
      </c>
      <c r="G174" s="11" t="str">
        <f>IF(LOWER(SETUP!$B$3)="yes",IF($E174="","",$E174*(1+SETUP!$B$4)),"")</f>
        <v/>
      </c>
      <c r="H174" s="11" t="str">
        <f>IF(LOWER(SETUP!$B$3)="yes",IF($F174="","",$F174*(1+SETUP!$B$4)),"")</f>
        <v/>
      </c>
      <c r="I174" s="12" t="str">
        <f>IF($C174&gt;0,($C174-$B174-($C174*SETUP!$B$5))/$C174,"")</f>
        <v/>
      </c>
      <c r="J174" s="11" t="e">
        <f>IF($E174&gt;0,$E174-$B174-($E174*SETUP!$B$5),"")</f>
        <v>#VALUE!</v>
      </c>
      <c r="K174" s="13" t="str">
        <f t="shared" si="5"/>
        <v/>
      </c>
    </row>
    <row r="175" spans="1:11" x14ac:dyDescent="0.3">
      <c r="A175" s="9"/>
      <c r="B175" s="10"/>
      <c r="C175" s="10"/>
      <c r="D175" s="11" t="str">
        <f>IF($B175&gt;0,$B175/(1-SETUP!$B$5),"")</f>
        <v/>
      </c>
      <c r="E175" s="11" t="str">
        <f>IF($B175&gt;0,IF((1-(SETUP!$B$6+SETUP!$B$5))&lt;=0,"Check setup",$B175/(1-(SETUP!$B$6+SETUP!$B$5))),"")</f>
        <v/>
      </c>
      <c r="F175" s="11" t="str">
        <f>IF($B175&gt;0,IF((1-(SETUP!$B$6+SETUP!$B$5+SETUP!$B$7))&lt;=0,"Check setup",IF(SETUP!$B$7=0,$E175,$B175/(1-(SETUP!$B$6+SETUP!$B$5+SETUP!$B$7)))),"")</f>
        <v/>
      </c>
      <c r="G175" s="11" t="str">
        <f>IF(LOWER(SETUP!$B$3)="yes",IF($E175="","",$E175*(1+SETUP!$B$4)),"")</f>
        <v/>
      </c>
      <c r="H175" s="11" t="str">
        <f>IF(LOWER(SETUP!$B$3)="yes",IF($F175="","",$F175*(1+SETUP!$B$4)),"")</f>
        <v/>
      </c>
      <c r="I175" s="12" t="str">
        <f>IF($C175&gt;0,($C175-$B175-($C175*SETUP!$B$5))/$C175,"")</f>
        <v/>
      </c>
      <c r="J175" s="11" t="e">
        <f>IF($E175&gt;0,$E175-$B175-($E175*SETUP!$B$5),"")</f>
        <v>#VALUE!</v>
      </c>
      <c r="K175" s="13" t="str">
        <f t="shared" si="5"/>
        <v/>
      </c>
    </row>
    <row r="176" spans="1:11" x14ac:dyDescent="0.3">
      <c r="A176" s="9"/>
      <c r="B176" s="10"/>
      <c r="C176" s="10"/>
      <c r="D176" s="11" t="str">
        <f>IF($B176&gt;0,$B176/(1-SETUP!$B$5),"")</f>
        <v/>
      </c>
      <c r="E176" s="11" t="str">
        <f>IF($B176&gt;0,IF((1-(SETUP!$B$6+SETUP!$B$5))&lt;=0,"Check setup",$B176/(1-(SETUP!$B$6+SETUP!$B$5))),"")</f>
        <v/>
      </c>
      <c r="F176" s="11" t="str">
        <f>IF($B176&gt;0,IF((1-(SETUP!$B$6+SETUP!$B$5+SETUP!$B$7))&lt;=0,"Check setup",IF(SETUP!$B$7=0,$E176,$B176/(1-(SETUP!$B$6+SETUP!$B$5+SETUP!$B$7)))),"")</f>
        <v/>
      </c>
      <c r="G176" s="11" t="str">
        <f>IF(LOWER(SETUP!$B$3)="yes",IF($E176="","",$E176*(1+SETUP!$B$4)),"")</f>
        <v/>
      </c>
      <c r="H176" s="11" t="str">
        <f>IF(LOWER(SETUP!$B$3)="yes",IF($F176="","",$F176*(1+SETUP!$B$4)),"")</f>
        <v/>
      </c>
      <c r="I176" s="12" t="str">
        <f>IF($C176&gt;0,($C176-$B176-($C176*SETUP!$B$5))/$C176,"")</f>
        <v/>
      </c>
      <c r="J176" s="11" t="e">
        <f>IF($E176&gt;0,$E176-$B176-($E176*SETUP!$B$5),"")</f>
        <v>#VALUE!</v>
      </c>
      <c r="K176" s="13" t="str">
        <f t="shared" si="5"/>
        <v/>
      </c>
    </row>
    <row r="177" spans="1:11" x14ac:dyDescent="0.3">
      <c r="A177" s="9"/>
      <c r="B177" s="10"/>
      <c r="C177" s="10"/>
      <c r="D177" s="11" t="str">
        <f>IF($B177&gt;0,$B177/(1-SETUP!$B$5),"")</f>
        <v/>
      </c>
      <c r="E177" s="11" t="str">
        <f>IF($B177&gt;0,IF((1-(SETUP!$B$6+SETUP!$B$5))&lt;=0,"Check setup",$B177/(1-(SETUP!$B$6+SETUP!$B$5))),"")</f>
        <v/>
      </c>
      <c r="F177" s="11" t="str">
        <f>IF($B177&gt;0,IF((1-(SETUP!$B$6+SETUP!$B$5+SETUP!$B$7))&lt;=0,"Check setup",IF(SETUP!$B$7=0,$E177,$B177/(1-(SETUP!$B$6+SETUP!$B$5+SETUP!$B$7)))),"")</f>
        <v/>
      </c>
      <c r="G177" s="11" t="str">
        <f>IF(LOWER(SETUP!$B$3)="yes",IF($E177="","",$E177*(1+SETUP!$B$4)),"")</f>
        <v/>
      </c>
      <c r="H177" s="11" t="str">
        <f>IF(LOWER(SETUP!$B$3)="yes",IF($F177="","",$F177*(1+SETUP!$B$4)),"")</f>
        <v/>
      </c>
      <c r="I177" s="12" t="str">
        <f>IF($C177&gt;0,($C177-$B177-($C177*SETUP!$B$5))/$C177,"")</f>
        <v/>
      </c>
      <c r="J177" s="11" t="e">
        <f>IF($E177&gt;0,$E177-$B177-($E177*SETUP!$B$5),"")</f>
        <v>#VALUE!</v>
      </c>
      <c r="K177" s="13" t="str">
        <f t="shared" si="5"/>
        <v/>
      </c>
    </row>
    <row r="178" spans="1:11" x14ac:dyDescent="0.3">
      <c r="A178" s="9"/>
      <c r="B178" s="10"/>
      <c r="C178" s="10"/>
      <c r="D178" s="11" t="str">
        <f>IF($B178&gt;0,$B178/(1-SETUP!$B$5),"")</f>
        <v/>
      </c>
      <c r="E178" s="11" t="str">
        <f>IF($B178&gt;0,IF((1-(SETUP!$B$6+SETUP!$B$5))&lt;=0,"Check setup",$B178/(1-(SETUP!$B$6+SETUP!$B$5))),"")</f>
        <v/>
      </c>
      <c r="F178" s="11" t="str">
        <f>IF($B178&gt;0,IF((1-(SETUP!$B$6+SETUP!$B$5+SETUP!$B$7))&lt;=0,"Check setup",IF(SETUP!$B$7=0,$E178,$B178/(1-(SETUP!$B$6+SETUP!$B$5+SETUP!$B$7)))),"")</f>
        <v/>
      </c>
      <c r="G178" s="11" t="str">
        <f>IF(LOWER(SETUP!$B$3)="yes",IF($E178="","",$E178*(1+SETUP!$B$4)),"")</f>
        <v/>
      </c>
      <c r="H178" s="11" t="str">
        <f>IF(LOWER(SETUP!$B$3)="yes",IF($F178="","",$F178*(1+SETUP!$B$4)),"")</f>
        <v/>
      </c>
      <c r="I178" s="12" t="str">
        <f>IF($C178&gt;0,($C178-$B178-($C178*SETUP!$B$5))/$C178,"")</f>
        <v/>
      </c>
      <c r="J178" s="11" t="e">
        <f>IF($E178&gt;0,$E178-$B178-($E178*SETUP!$B$5),"")</f>
        <v>#VALUE!</v>
      </c>
      <c r="K178" s="13" t="str">
        <f t="shared" si="5"/>
        <v/>
      </c>
    </row>
    <row r="179" spans="1:11" x14ac:dyDescent="0.3">
      <c r="A179" s="9"/>
      <c r="B179" s="10"/>
      <c r="C179" s="10"/>
      <c r="D179" s="11" t="str">
        <f>IF($B179&gt;0,$B179/(1-SETUP!$B$5),"")</f>
        <v/>
      </c>
      <c r="E179" s="11" t="str">
        <f>IF($B179&gt;0,IF((1-(SETUP!$B$6+SETUP!$B$5))&lt;=0,"Check setup",$B179/(1-(SETUP!$B$6+SETUP!$B$5))),"")</f>
        <v/>
      </c>
      <c r="F179" s="11" t="str">
        <f>IF($B179&gt;0,IF((1-(SETUP!$B$6+SETUP!$B$5+SETUP!$B$7))&lt;=0,"Check setup",IF(SETUP!$B$7=0,$E179,$B179/(1-(SETUP!$B$6+SETUP!$B$5+SETUP!$B$7)))),"")</f>
        <v/>
      </c>
      <c r="G179" s="11" t="str">
        <f>IF(LOWER(SETUP!$B$3)="yes",IF($E179="","",$E179*(1+SETUP!$B$4)),"")</f>
        <v/>
      </c>
      <c r="H179" s="11" t="str">
        <f>IF(LOWER(SETUP!$B$3)="yes",IF($F179="","",$F179*(1+SETUP!$B$4)),"")</f>
        <v/>
      </c>
      <c r="I179" s="12" t="str">
        <f>IF($C179&gt;0,($C179-$B179-($C179*SETUP!$B$5))/$C179,"")</f>
        <v/>
      </c>
      <c r="J179" s="11" t="e">
        <f>IF($E179&gt;0,$E179-$B179-($E179*SETUP!$B$5),"")</f>
        <v>#VALUE!</v>
      </c>
      <c r="K179" s="13" t="str">
        <f t="shared" si="5"/>
        <v/>
      </c>
    </row>
    <row r="180" spans="1:11" x14ac:dyDescent="0.3">
      <c r="A180" s="9"/>
      <c r="B180" s="10"/>
      <c r="C180" s="10"/>
      <c r="D180" s="11" t="str">
        <f>IF($B180&gt;0,$B180/(1-SETUP!$B$5),"")</f>
        <v/>
      </c>
      <c r="E180" s="11" t="str">
        <f>IF($B180&gt;0,IF((1-(SETUP!$B$6+SETUP!$B$5))&lt;=0,"Check setup",$B180/(1-(SETUP!$B$6+SETUP!$B$5))),"")</f>
        <v/>
      </c>
      <c r="F180" s="11" t="str">
        <f>IF($B180&gt;0,IF((1-(SETUP!$B$6+SETUP!$B$5+SETUP!$B$7))&lt;=0,"Check setup",IF(SETUP!$B$7=0,$E180,$B180/(1-(SETUP!$B$6+SETUP!$B$5+SETUP!$B$7)))),"")</f>
        <v/>
      </c>
      <c r="G180" s="11" t="str">
        <f>IF(LOWER(SETUP!$B$3)="yes",IF($E180="","",$E180*(1+SETUP!$B$4)),"")</f>
        <v/>
      </c>
      <c r="H180" s="11" t="str">
        <f>IF(LOWER(SETUP!$B$3)="yes",IF($F180="","",$F180*(1+SETUP!$B$4)),"")</f>
        <v/>
      </c>
      <c r="I180" s="12" t="str">
        <f>IF($C180&gt;0,($C180-$B180-($C180*SETUP!$B$5))/$C180,"")</f>
        <v/>
      </c>
      <c r="J180" s="11" t="e">
        <f>IF($E180&gt;0,$E180-$B180-($E180*SETUP!$B$5),"")</f>
        <v>#VALUE!</v>
      </c>
      <c r="K180" s="13" t="str">
        <f t="shared" si="5"/>
        <v/>
      </c>
    </row>
    <row r="181" spans="1:11" x14ac:dyDescent="0.3">
      <c r="A181" s="9"/>
      <c r="B181" s="10"/>
      <c r="C181" s="10"/>
      <c r="D181" s="11" t="str">
        <f>IF($B181&gt;0,$B181/(1-SETUP!$B$5),"")</f>
        <v/>
      </c>
      <c r="E181" s="11" t="str">
        <f>IF($B181&gt;0,IF((1-(SETUP!$B$6+SETUP!$B$5))&lt;=0,"Check setup",$B181/(1-(SETUP!$B$6+SETUP!$B$5))),"")</f>
        <v/>
      </c>
      <c r="F181" s="11" t="str">
        <f>IF($B181&gt;0,IF((1-(SETUP!$B$6+SETUP!$B$5+SETUP!$B$7))&lt;=0,"Check setup",IF(SETUP!$B$7=0,$E181,$B181/(1-(SETUP!$B$6+SETUP!$B$5+SETUP!$B$7)))),"")</f>
        <v/>
      </c>
      <c r="G181" s="11" t="str">
        <f>IF(LOWER(SETUP!$B$3)="yes",IF($E181="","",$E181*(1+SETUP!$B$4)),"")</f>
        <v/>
      </c>
      <c r="H181" s="11" t="str">
        <f>IF(LOWER(SETUP!$B$3)="yes",IF($F181="","",$F181*(1+SETUP!$B$4)),"")</f>
        <v/>
      </c>
      <c r="I181" s="12" t="str">
        <f>IF($C181&gt;0,($C181-$B181-($C181*SETUP!$B$5))/$C181,"")</f>
        <v/>
      </c>
      <c r="J181" s="11" t="e">
        <f>IF($E181&gt;0,$E181-$B181-($E181*SETUP!$B$5),"")</f>
        <v>#VALUE!</v>
      </c>
      <c r="K181" s="13" t="str">
        <f t="shared" si="5"/>
        <v/>
      </c>
    </row>
    <row r="182" spans="1:11" x14ac:dyDescent="0.3">
      <c r="A182" s="9"/>
      <c r="B182" s="10"/>
      <c r="C182" s="10"/>
      <c r="D182" s="11" t="str">
        <f>IF($B182&gt;0,$B182/(1-SETUP!$B$5),"")</f>
        <v/>
      </c>
      <c r="E182" s="11" t="str">
        <f>IF($B182&gt;0,IF((1-(SETUP!$B$6+SETUP!$B$5))&lt;=0,"Check setup",$B182/(1-(SETUP!$B$6+SETUP!$B$5))),"")</f>
        <v/>
      </c>
      <c r="F182" s="11" t="str">
        <f>IF($B182&gt;0,IF((1-(SETUP!$B$6+SETUP!$B$5+SETUP!$B$7))&lt;=0,"Check setup",IF(SETUP!$B$7=0,$E182,$B182/(1-(SETUP!$B$6+SETUP!$B$5+SETUP!$B$7)))),"")</f>
        <v/>
      </c>
      <c r="G182" s="11" t="str">
        <f>IF(LOWER(SETUP!$B$3)="yes",IF($E182="","",$E182*(1+SETUP!$B$4)),"")</f>
        <v/>
      </c>
      <c r="H182" s="11" t="str">
        <f>IF(LOWER(SETUP!$B$3)="yes",IF($F182="","",$F182*(1+SETUP!$B$4)),"")</f>
        <v/>
      </c>
      <c r="I182" s="12" t="str">
        <f>IF($C182&gt;0,($C182-$B182-($C182*SETUP!$B$5))/$C182,"")</f>
        <v/>
      </c>
      <c r="J182" s="11" t="e">
        <f>IF($E182&gt;0,$E182-$B182-($E182*SETUP!$B$5),"")</f>
        <v>#VALUE!</v>
      </c>
      <c r="K182" s="13" t="str">
        <f t="shared" si="5"/>
        <v/>
      </c>
    </row>
    <row r="183" spans="1:11" x14ac:dyDescent="0.3">
      <c r="A183" s="9"/>
      <c r="B183" s="10"/>
      <c r="C183" s="10"/>
      <c r="D183" s="11" t="str">
        <f>IF($B183&gt;0,$B183/(1-SETUP!$B$5),"")</f>
        <v/>
      </c>
      <c r="E183" s="11" t="str">
        <f>IF($B183&gt;0,IF((1-(SETUP!$B$6+SETUP!$B$5))&lt;=0,"Check setup",$B183/(1-(SETUP!$B$6+SETUP!$B$5))),"")</f>
        <v/>
      </c>
      <c r="F183" s="11" t="str">
        <f>IF($B183&gt;0,IF((1-(SETUP!$B$6+SETUP!$B$5+SETUP!$B$7))&lt;=0,"Check setup",IF(SETUP!$B$7=0,$E183,$B183/(1-(SETUP!$B$6+SETUP!$B$5+SETUP!$B$7)))),"")</f>
        <v/>
      </c>
      <c r="G183" s="11" t="str">
        <f>IF(LOWER(SETUP!$B$3)="yes",IF($E183="","",$E183*(1+SETUP!$B$4)),"")</f>
        <v/>
      </c>
      <c r="H183" s="11" t="str">
        <f>IF(LOWER(SETUP!$B$3)="yes",IF($F183="","",$F183*(1+SETUP!$B$4)),"")</f>
        <v/>
      </c>
      <c r="I183" s="12" t="str">
        <f>IF($C183&gt;0,($C183-$B183-($C183*SETUP!$B$5))/$C183,"")</f>
        <v/>
      </c>
      <c r="J183" s="11" t="e">
        <f>IF($E183&gt;0,$E183-$B183-($E183*SETUP!$B$5),"")</f>
        <v>#VALUE!</v>
      </c>
      <c r="K183" s="13" t="str">
        <f t="shared" si="5"/>
        <v/>
      </c>
    </row>
    <row r="184" spans="1:11" x14ac:dyDescent="0.3">
      <c r="A184" s="9"/>
      <c r="B184" s="10"/>
      <c r="C184" s="10"/>
      <c r="D184" s="11" t="str">
        <f>IF($B184&gt;0,$B184/(1-SETUP!$B$5),"")</f>
        <v/>
      </c>
      <c r="E184" s="11" t="str">
        <f>IF($B184&gt;0,IF((1-(SETUP!$B$6+SETUP!$B$5))&lt;=0,"Check setup",$B184/(1-(SETUP!$B$6+SETUP!$B$5))),"")</f>
        <v/>
      </c>
      <c r="F184" s="11" t="str">
        <f>IF($B184&gt;0,IF((1-(SETUP!$B$6+SETUP!$B$5+SETUP!$B$7))&lt;=0,"Check setup",IF(SETUP!$B$7=0,$E184,$B184/(1-(SETUP!$B$6+SETUP!$B$5+SETUP!$B$7)))),"")</f>
        <v/>
      </c>
      <c r="G184" s="11" t="str">
        <f>IF(LOWER(SETUP!$B$3)="yes",IF($E184="","",$E184*(1+SETUP!$B$4)),"")</f>
        <v/>
      </c>
      <c r="H184" s="11" t="str">
        <f>IF(LOWER(SETUP!$B$3)="yes",IF($F184="","",$F184*(1+SETUP!$B$4)),"")</f>
        <v/>
      </c>
      <c r="I184" s="12" t="str">
        <f>IF($C184&gt;0,($C184-$B184-($C184*SETUP!$B$5))/$C184,"")</f>
        <v/>
      </c>
      <c r="J184" s="11" t="e">
        <f>IF($E184&gt;0,$E184-$B184-($E184*SETUP!$B$5),"")</f>
        <v>#VALUE!</v>
      </c>
      <c r="K184" s="13" t="str">
        <f t="shared" si="5"/>
        <v/>
      </c>
    </row>
    <row r="185" spans="1:11" x14ac:dyDescent="0.3">
      <c r="A185" s="9"/>
      <c r="B185" s="10"/>
      <c r="C185" s="10"/>
      <c r="D185" s="11" t="str">
        <f>IF($B185&gt;0,$B185/(1-SETUP!$B$5),"")</f>
        <v/>
      </c>
      <c r="E185" s="11" t="str">
        <f>IF($B185&gt;0,IF((1-(SETUP!$B$6+SETUP!$B$5))&lt;=0,"Check setup",$B185/(1-(SETUP!$B$6+SETUP!$B$5))),"")</f>
        <v/>
      </c>
      <c r="F185" s="11" t="str">
        <f>IF($B185&gt;0,IF((1-(SETUP!$B$6+SETUP!$B$5+SETUP!$B$7))&lt;=0,"Check setup",IF(SETUP!$B$7=0,$E185,$B185/(1-(SETUP!$B$6+SETUP!$B$5+SETUP!$B$7)))),"")</f>
        <v/>
      </c>
      <c r="G185" s="11" t="str">
        <f>IF(LOWER(SETUP!$B$3)="yes",IF($E185="","",$E185*(1+SETUP!$B$4)),"")</f>
        <v/>
      </c>
      <c r="H185" s="11" t="str">
        <f>IF(LOWER(SETUP!$B$3)="yes",IF($F185="","",$F185*(1+SETUP!$B$4)),"")</f>
        <v/>
      </c>
      <c r="I185" s="12" t="str">
        <f>IF($C185&gt;0,($C185-$B185-($C185*SETUP!$B$5))/$C185,"")</f>
        <v/>
      </c>
      <c r="J185" s="11" t="e">
        <f>IF($E185&gt;0,$E185-$B185-($E185*SETUP!$B$5),"")</f>
        <v>#VALUE!</v>
      </c>
      <c r="K185" s="13" t="str">
        <f t="shared" si="5"/>
        <v/>
      </c>
    </row>
    <row r="186" spans="1:11" x14ac:dyDescent="0.3">
      <c r="A186" s="9"/>
      <c r="B186" s="10"/>
      <c r="C186" s="10"/>
      <c r="D186" s="11" t="str">
        <f>IF($B186&gt;0,$B186/(1-SETUP!$B$5),"")</f>
        <v/>
      </c>
      <c r="E186" s="11" t="str">
        <f>IF($B186&gt;0,IF((1-(SETUP!$B$6+SETUP!$B$5))&lt;=0,"Check setup",$B186/(1-(SETUP!$B$6+SETUP!$B$5))),"")</f>
        <v/>
      </c>
      <c r="F186" s="11" t="str">
        <f>IF($B186&gt;0,IF((1-(SETUP!$B$6+SETUP!$B$5+SETUP!$B$7))&lt;=0,"Check setup",IF(SETUP!$B$7=0,$E186,$B186/(1-(SETUP!$B$6+SETUP!$B$5+SETUP!$B$7)))),"")</f>
        <v/>
      </c>
      <c r="G186" s="11" t="str">
        <f>IF(LOWER(SETUP!$B$3)="yes",IF($E186="","",$E186*(1+SETUP!$B$4)),"")</f>
        <v/>
      </c>
      <c r="H186" s="11" t="str">
        <f>IF(LOWER(SETUP!$B$3)="yes",IF($F186="","",$F186*(1+SETUP!$B$4)),"")</f>
        <v/>
      </c>
      <c r="I186" s="12" t="str">
        <f>IF($C186&gt;0,($C186-$B186-($C186*SETUP!$B$5))/$C186,"")</f>
        <v/>
      </c>
      <c r="J186" s="11" t="e">
        <f>IF($E186&gt;0,$E186-$B186-($E186*SETUP!$B$5),"")</f>
        <v>#VALUE!</v>
      </c>
      <c r="K186" s="13" t="str">
        <f t="shared" si="5"/>
        <v/>
      </c>
    </row>
    <row r="187" spans="1:11" x14ac:dyDescent="0.3">
      <c r="A187" s="9"/>
      <c r="B187" s="10"/>
      <c r="C187" s="10"/>
      <c r="D187" s="11" t="str">
        <f>IF($B187&gt;0,$B187/(1-SETUP!$B$5),"")</f>
        <v/>
      </c>
      <c r="E187" s="11" t="str">
        <f>IF($B187&gt;0,IF((1-(SETUP!$B$6+SETUP!$B$5))&lt;=0,"Check setup",$B187/(1-(SETUP!$B$6+SETUP!$B$5))),"")</f>
        <v/>
      </c>
      <c r="F187" s="11" t="str">
        <f>IF($B187&gt;0,IF((1-(SETUP!$B$6+SETUP!$B$5+SETUP!$B$7))&lt;=0,"Check setup",IF(SETUP!$B$7=0,$E187,$B187/(1-(SETUP!$B$6+SETUP!$B$5+SETUP!$B$7)))),"")</f>
        <v/>
      </c>
      <c r="G187" s="11" t="str">
        <f>IF(LOWER(SETUP!$B$3)="yes",IF($E187="","",$E187*(1+SETUP!$B$4)),"")</f>
        <v/>
      </c>
      <c r="H187" s="11" t="str">
        <f>IF(LOWER(SETUP!$B$3)="yes",IF($F187="","",$F187*(1+SETUP!$B$4)),"")</f>
        <v/>
      </c>
      <c r="I187" s="12" t="str">
        <f>IF($C187&gt;0,($C187-$B187-($C187*SETUP!$B$5))/$C187,"")</f>
        <v/>
      </c>
      <c r="J187" s="11" t="e">
        <f>IF($E187&gt;0,$E187-$B187-($E187*SETUP!$B$5),"")</f>
        <v>#VALUE!</v>
      </c>
      <c r="K187" s="13" t="str">
        <f t="shared" si="5"/>
        <v/>
      </c>
    </row>
    <row r="188" spans="1:11" x14ac:dyDescent="0.3">
      <c r="A188" s="9"/>
      <c r="B188" s="10"/>
      <c r="C188" s="10"/>
      <c r="D188" s="11" t="str">
        <f>IF($B188&gt;0,$B188/(1-SETUP!$B$5),"")</f>
        <v/>
      </c>
      <c r="E188" s="11" t="str">
        <f>IF($B188&gt;0,IF((1-(SETUP!$B$6+SETUP!$B$5))&lt;=0,"Check setup",$B188/(1-(SETUP!$B$6+SETUP!$B$5))),"")</f>
        <v/>
      </c>
      <c r="F188" s="11" t="str">
        <f>IF($B188&gt;0,IF((1-(SETUP!$B$6+SETUP!$B$5+SETUP!$B$7))&lt;=0,"Check setup",IF(SETUP!$B$7=0,$E188,$B188/(1-(SETUP!$B$6+SETUP!$B$5+SETUP!$B$7)))),"")</f>
        <v/>
      </c>
      <c r="G188" s="11" t="str">
        <f>IF(LOWER(SETUP!$B$3)="yes",IF($E188="","",$E188*(1+SETUP!$B$4)),"")</f>
        <v/>
      </c>
      <c r="H188" s="11" t="str">
        <f>IF(LOWER(SETUP!$B$3)="yes",IF($F188="","",$F188*(1+SETUP!$B$4)),"")</f>
        <v/>
      </c>
      <c r="I188" s="12" t="str">
        <f>IF($C188&gt;0,($C188-$B188-($C188*SETUP!$B$5))/$C188,"")</f>
        <v/>
      </c>
      <c r="J188" s="11" t="e">
        <f>IF($E188&gt;0,$E188-$B188-($E188*SETUP!$B$5),"")</f>
        <v>#VALUE!</v>
      </c>
      <c r="K188" s="13" t="str">
        <f t="shared" si="5"/>
        <v/>
      </c>
    </row>
    <row r="189" spans="1:11" x14ac:dyDescent="0.3">
      <c r="A189" s="9"/>
      <c r="B189" s="10"/>
      <c r="C189" s="10"/>
      <c r="D189" s="11" t="str">
        <f>IF($B189&gt;0,$B189/(1-SETUP!$B$5),"")</f>
        <v/>
      </c>
      <c r="E189" s="11" t="str">
        <f>IF($B189&gt;0,IF((1-(SETUP!$B$6+SETUP!$B$5))&lt;=0,"Check setup",$B189/(1-(SETUP!$B$6+SETUP!$B$5))),"")</f>
        <v/>
      </c>
      <c r="F189" s="11" t="str">
        <f>IF($B189&gt;0,IF((1-(SETUP!$B$6+SETUP!$B$5+SETUP!$B$7))&lt;=0,"Check setup",IF(SETUP!$B$7=0,$E189,$B189/(1-(SETUP!$B$6+SETUP!$B$5+SETUP!$B$7)))),"")</f>
        <v/>
      </c>
      <c r="G189" s="11" t="str">
        <f>IF(LOWER(SETUP!$B$3)="yes",IF($E189="","",$E189*(1+SETUP!$B$4)),"")</f>
        <v/>
      </c>
      <c r="H189" s="11" t="str">
        <f>IF(LOWER(SETUP!$B$3)="yes",IF($F189="","",$F189*(1+SETUP!$B$4)),"")</f>
        <v/>
      </c>
      <c r="I189" s="12" t="str">
        <f>IF($C189&gt;0,($C189-$B189-($C189*SETUP!$B$5))/$C189,"")</f>
        <v/>
      </c>
      <c r="J189" s="11" t="e">
        <f>IF($E189&gt;0,$E189-$B189-($E189*SETUP!$B$5),"")</f>
        <v>#VALUE!</v>
      </c>
      <c r="K189" s="13" t="str">
        <f t="shared" si="5"/>
        <v/>
      </c>
    </row>
    <row r="190" spans="1:11" x14ac:dyDescent="0.3">
      <c r="A190" s="9"/>
      <c r="B190" s="10"/>
      <c r="C190" s="10"/>
      <c r="D190" s="11" t="str">
        <f>IF($B190&gt;0,$B190/(1-SETUP!$B$5),"")</f>
        <v/>
      </c>
      <c r="E190" s="11" t="str">
        <f>IF($B190&gt;0,IF((1-(SETUP!$B$6+SETUP!$B$5))&lt;=0,"Check setup",$B190/(1-(SETUP!$B$6+SETUP!$B$5))),"")</f>
        <v/>
      </c>
      <c r="F190" s="11" t="str">
        <f>IF($B190&gt;0,IF((1-(SETUP!$B$6+SETUP!$B$5+SETUP!$B$7))&lt;=0,"Check setup",IF(SETUP!$B$7=0,$E190,$B190/(1-(SETUP!$B$6+SETUP!$B$5+SETUP!$B$7)))),"")</f>
        <v/>
      </c>
      <c r="G190" s="11" t="str">
        <f>IF(LOWER(SETUP!$B$3)="yes",IF($E190="","",$E190*(1+SETUP!$B$4)),"")</f>
        <v/>
      </c>
      <c r="H190" s="11" t="str">
        <f>IF(LOWER(SETUP!$B$3)="yes",IF($F190="","",$F190*(1+SETUP!$B$4)),"")</f>
        <v/>
      </c>
      <c r="I190" s="12" t="str">
        <f>IF($C190&gt;0,($C190-$B190-($C190*SETUP!$B$5))/$C190,"")</f>
        <v/>
      </c>
      <c r="J190" s="11" t="e">
        <f>IF($E190&gt;0,$E190-$B190-($E190*SETUP!$B$5),"")</f>
        <v>#VALUE!</v>
      </c>
      <c r="K190" s="13" t="str">
        <f t="shared" si="5"/>
        <v/>
      </c>
    </row>
    <row r="191" spans="1:11" x14ac:dyDescent="0.3">
      <c r="A191" s="9"/>
      <c r="B191" s="10"/>
      <c r="C191" s="10"/>
      <c r="D191" s="11" t="str">
        <f>IF($B191&gt;0,$B191/(1-SETUP!$B$5),"")</f>
        <v/>
      </c>
      <c r="E191" s="11" t="str">
        <f>IF($B191&gt;0,IF((1-(SETUP!$B$6+SETUP!$B$5))&lt;=0,"Check setup",$B191/(1-(SETUP!$B$6+SETUP!$B$5))),"")</f>
        <v/>
      </c>
      <c r="F191" s="11" t="str">
        <f>IF($B191&gt;0,IF((1-(SETUP!$B$6+SETUP!$B$5+SETUP!$B$7))&lt;=0,"Check setup",IF(SETUP!$B$7=0,$E191,$B191/(1-(SETUP!$B$6+SETUP!$B$5+SETUP!$B$7)))),"")</f>
        <v/>
      </c>
      <c r="G191" s="11" t="str">
        <f>IF(LOWER(SETUP!$B$3)="yes",IF($E191="","",$E191*(1+SETUP!$B$4)),"")</f>
        <v/>
      </c>
      <c r="H191" s="11" t="str">
        <f>IF(LOWER(SETUP!$B$3)="yes",IF($F191="","",$F191*(1+SETUP!$B$4)),"")</f>
        <v/>
      </c>
      <c r="I191" s="12" t="str">
        <f>IF($C191&gt;0,($C191-$B191-($C191*SETUP!$B$5))/$C191,"")</f>
        <v/>
      </c>
      <c r="J191" s="11" t="e">
        <f>IF($E191&gt;0,$E191-$B191-($E191*SETUP!$B$5),"")</f>
        <v>#VALUE!</v>
      </c>
      <c r="K191" s="13" t="str">
        <f t="shared" si="5"/>
        <v/>
      </c>
    </row>
    <row r="192" spans="1:11" x14ac:dyDescent="0.3">
      <c r="A192" s="9"/>
      <c r="B192" s="10"/>
      <c r="C192" s="10"/>
      <c r="D192" s="11" t="str">
        <f>IF($B192&gt;0,$B192/(1-SETUP!$B$5),"")</f>
        <v/>
      </c>
      <c r="E192" s="11" t="str">
        <f>IF($B192&gt;0,IF((1-(SETUP!$B$6+SETUP!$B$5))&lt;=0,"Check setup",$B192/(1-(SETUP!$B$6+SETUP!$B$5))),"")</f>
        <v/>
      </c>
      <c r="F192" s="11" t="str">
        <f>IF($B192&gt;0,IF((1-(SETUP!$B$6+SETUP!$B$5+SETUP!$B$7))&lt;=0,"Check setup",IF(SETUP!$B$7=0,$E192,$B192/(1-(SETUP!$B$6+SETUP!$B$5+SETUP!$B$7)))),"")</f>
        <v/>
      </c>
      <c r="G192" s="11" t="str">
        <f>IF(LOWER(SETUP!$B$3)="yes",IF($E192="","",$E192*(1+SETUP!$B$4)),"")</f>
        <v/>
      </c>
      <c r="H192" s="11" t="str">
        <f>IF(LOWER(SETUP!$B$3)="yes",IF($F192="","",$F192*(1+SETUP!$B$4)),"")</f>
        <v/>
      </c>
      <c r="I192" s="12" t="str">
        <f>IF($C192&gt;0,($C192-$B192-($C192*SETUP!$B$5))/$C192,"")</f>
        <v/>
      </c>
      <c r="J192" s="11" t="e">
        <f>IF($E192&gt;0,$E192-$B192-($E192*SETUP!$B$5),"")</f>
        <v>#VALUE!</v>
      </c>
      <c r="K192" s="13" t="str">
        <f t="shared" si="5"/>
        <v/>
      </c>
    </row>
    <row r="193" spans="1:11" x14ac:dyDescent="0.3">
      <c r="A193" s="9"/>
      <c r="B193" s="10"/>
      <c r="C193" s="10"/>
      <c r="D193" s="11" t="str">
        <f>IF($B193&gt;0,$B193/(1-SETUP!$B$5),"")</f>
        <v/>
      </c>
      <c r="E193" s="11" t="str">
        <f>IF($B193&gt;0,IF((1-(SETUP!$B$6+SETUP!$B$5))&lt;=0,"Check setup",$B193/(1-(SETUP!$B$6+SETUP!$B$5))),"")</f>
        <v/>
      </c>
      <c r="F193" s="11" t="str">
        <f>IF($B193&gt;0,IF((1-(SETUP!$B$6+SETUP!$B$5+SETUP!$B$7))&lt;=0,"Check setup",IF(SETUP!$B$7=0,$E193,$B193/(1-(SETUP!$B$6+SETUP!$B$5+SETUP!$B$7)))),"")</f>
        <v/>
      </c>
      <c r="G193" s="11" t="str">
        <f>IF(LOWER(SETUP!$B$3)="yes",IF($E193="","",$E193*(1+SETUP!$B$4)),"")</f>
        <v/>
      </c>
      <c r="H193" s="11" t="str">
        <f>IF(LOWER(SETUP!$B$3)="yes",IF($F193="","",$F193*(1+SETUP!$B$4)),"")</f>
        <v/>
      </c>
      <c r="I193" s="12" t="str">
        <f>IF($C193&gt;0,($C193-$B193-($C193*SETUP!$B$5))/$C193,"")</f>
        <v/>
      </c>
      <c r="J193" s="11" t="e">
        <f>IF($E193&gt;0,$E193-$B193-($E193*SETUP!$B$5),"")</f>
        <v>#VALUE!</v>
      </c>
      <c r="K193" s="13" t="str">
        <f t="shared" si="5"/>
        <v/>
      </c>
    </row>
    <row r="194" spans="1:11" x14ac:dyDescent="0.3">
      <c r="A194" s="9"/>
      <c r="B194" s="10"/>
      <c r="C194" s="10"/>
      <c r="D194" s="11" t="str">
        <f>IF($B194&gt;0,$B194/(1-SETUP!$B$5),"")</f>
        <v/>
      </c>
      <c r="E194" s="11" t="str">
        <f>IF($B194&gt;0,IF((1-(SETUP!$B$6+SETUP!$B$5))&lt;=0,"Check setup",$B194/(1-(SETUP!$B$6+SETUP!$B$5))),"")</f>
        <v/>
      </c>
      <c r="F194" s="11" t="str">
        <f>IF($B194&gt;0,IF((1-(SETUP!$B$6+SETUP!$B$5+SETUP!$B$7))&lt;=0,"Check setup",IF(SETUP!$B$7=0,$E194,$B194/(1-(SETUP!$B$6+SETUP!$B$5+SETUP!$B$7)))),"")</f>
        <v/>
      </c>
      <c r="G194" s="11" t="str">
        <f>IF(LOWER(SETUP!$B$3)="yes",IF($E194="","",$E194*(1+SETUP!$B$4)),"")</f>
        <v/>
      </c>
      <c r="H194" s="11" t="str">
        <f>IF(LOWER(SETUP!$B$3)="yes",IF($F194="","",$F194*(1+SETUP!$B$4)),"")</f>
        <v/>
      </c>
      <c r="I194" s="12" t="str">
        <f>IF($C194&gt;0,($C194-$B194-($C194*SETUP!$B$5))/$C194,"")</f>
        <v/>
      </c>
      <c r="J194" s="11" t="e">
        <f>IF($E194&gt;0,$E194-$B194-($E194*SETUP!$B$5),"")</f>
        <v>#VALUE!</v>
      </c>
      <c r="K194" s="13" t="str">
        <f t="shared" si="5"/>
        <v/>
      </c>
    </row>
    <row r="195" spans="1:11" x14ac:dyDescent="0.3">
      <c r="A195" s="9"/>
      <c r="B195" s="10"/>
      <c r="C195" s="10"/>
      <c r="D195" s="11" t="str">
        <f>IF($B195&gt;0,$B195/(1-SETUP!$B$5),"")</f>
        <v/>
      </c>
      <c r="E195" s="11" t="str">
        <f>IF($B195&gt;0,IF((1-(SETUP!$B$6+SETUP!$B$5))&lt;=0,"Check setup",$B195/(1-(SETUP!$B$6+SETUP!$B$5))),"")</f>
        <v/>
      </c>
      <c r="F195" s="11" t="str">
        <f>IF($B195&gt;0,IF((1-(SETUP!$B$6+SETUP!$B$5+SETUP!$B$7))&lt;=0,"Check setup",IF(SETUP!$B$7=0,$E195,$B195/(1-(SETUP!$B$6+SETUP!$B$5+SETUP!$B$7)))),"")</f>
        <v/>
      </c>
      <c r="G195" s="11" t="str">
        <f>IF(LOWER(SETUP!$B$3)="yes",IF($E195="","",$E195*(1+SETUP!$B$4)),"")</f>
        <v/>
      </c>
      <c r="H195" s="11" t="str">
        <f>IF(LOWER(SETUP!$B$3)="yes",IF($F195="","",$F195*(1+SETUP!$B$4)),"")</f>
        <v/>
      </c>
      <c r="I195" s="12" t="str">
        <f>IF($C195&gt;0,($C195-$B195-($C195*SETUP!$B$5))/$C195,"")</f>
        <v/>
      </c>
      <c r="J195" s="11" t="e">
        <f>IF($E195&gt;0,$E195-$B195-($E195*SETUP!$B$5),"")</f>
        <v>#VALUE!</v>
      </c>
      <c r="K195" s="13" t="str">
        <f t="shared" si="5"/>
        <v/>
      </c>
    </row>
    <row r="196" spans="1:11" x14ac:dyDescent="0.3">
      <c r="A196" s="9"/>
      <c r="B196" s="10"/>
      <c r="C196" s="10"/>
      <c r="D196" s="11" t="str">
        <f>IF($B196&gt;0,$B196/(1-SETUP!$B$5),"")</f>
        <v/>
      </c>
      <c r="E196" s="11" t="str">
        <f>IF($B196&gt;0,IF((1-(SETUP!$B$6+SETUP!$B$5))&lt;=0,"Check setup",$B196/(1-(SETUP!$B$6+SETUP!$B$5))),"")</f>
        <v/>
      </c>
      <c r="F196" s="11" t="str">
        <f>IF($B196&gt;0,IF((1-(SETUP!$B$6+SETUP!$B$5+SETUP!$B$7))&lt;=0,"Check setup",IF(SETUP!$B$7=0,$E196,$B196/(1-(SETUP!$B$6+SETUP!$B$5+SETUP!$B$7)))),"")</f>
        <v/>
      </c>
      <c r="G196" s="11" t="str">
        <f>IF(LOWER(SETUP!$B$3)="yes",IF($E196="","",$E196*(1+SETUP!$B$4)),"")</f>
        <v/>
      </c>
      <c r="H196" s="11" t="str">
        <f>IF(LOWER(SETUP!$B$3)="yes",IF($F196="","",$F196*(1+SETUP!$B$4)),"")</f>
        <v/>
      </c>
      <c r="I196" s="12" t="str">
        <f>IF($C196&gt;0,($C196-$B196-($C196*SETUP!$B$5))/$C196,"")</f>
        <v/>
      </c>
      <c r="J196" s="11" t="e">
        <f>IF($E196&gt;0,$E196-$B196-($E196*SETUP!$B$5),"")</f>
        <v>#VALUE!</v>
      </c>
      <c r="K196" s="13" t="str">
        <f t="shared" ref="K196:K203" si="6">IF($C196&gt;0,IF($C196&lt;$E196,"YES","NO"),"")</f>
        <v/>
      </c>
    </row>
    <row r="197" spans="1:11" x14ac:dyDescent="0.3">
      <c r="A197" s="9"/>
      <c r="B197" s="10"/>
      <c r="C197" s="10"/>
      <c r="D197" s="11" t="str">
        <f>IF($B197&gt;0,$B197/(1-SETUP!$B$5),"")</f>
        <v/>
      </c>
      <c r="E197" s="11" t="str">
        <f>IF($B197&gt;0,IF((1-(SETUP!$B$6+SETUP!$B$5))&lt;=0,"Check setup",$B197/(1-(SETUP!$B$6+SETUP!$B$5))),"")</f>
        <v/>
      </c>
      <c r="F197" s="11" t="str">
        <f>IF($B197&gt;0,IF((1-(SETUP!$B$6+SETUP!$B$5+SETUP!$B$7))&lt;=0,"Check setup",IF(SETUP!$B$7=0,$E197,$B197/(1-(SETUP!$B$6+SETUP!$B$5+SETUP!$B$7)))),"")</f>
        <v/>
      </c>
      <c r="G197" s="11" t="str">
        <f>IF(LOWER(SETUP!$B$3)="yes",IF($E197="","",$E197*(1+SETUP!$B$4)),"")</f>
        <v/>
      </c>
      <c r="H197" s="11" t="str">
        <f>IF(LOWER(SETUP!$B$3)="yes",IF($F197="","",$F197*(1+SETUP!$B$4)),"")</f>
        <v/>
      </c>
      <c r="I197" s="12" t="str">
        <f>IF($C197&gt;0,($C197-$B197-($C197*SETUP!$B$5))/$C197,"")</f>
        <v/>
      </c>
      <c r="J197" s="11" t="e">
        <f>IF($E197&gt;0,$E197-$B197-($E197*SETUP!$B$5),"")</f>
        <v>#VALUE!</v>
      </c>
      <c r="K197" s="13" t="str">
        <f t="shared" si="6"/>
        <v/>
      </c>
    </row>
    <row r="198" spans="1:11" x14ac:dyDescent="0.3">
      <c r="A198" s="9"/>
      <c r="B198" s="10"/>
      <c r="C198" s="10"/>
      <c r="D198" s="11" t="str">
        <f>IF($B198&gt;0,$B198/(1-SETUP!$B$5),"")</f>
        <v/>
      </c>
      <c r="E198" s="11" t="str">
        <f>IF($B198&gt;0,IF((1-(SETUP!$B$6+SETUP!$B$5))&lt;=0,"Check setup",$B198/(1-(SETUP!$B$6+SETUP!$B$5))),"")</f>
        <v/>
      </c>
      <c r="F198" s="11" t="str">
        <f>IF($B198&gt;0,IF((1-(SETUP!$B$6+SETUP!$B$5+SETUP!$B$7))&lt;=0,"Check setup",IF(SETUP!$B$7=0,$E198,$B198/(1-(SETUP!$B$6+SETUP!$B$5+SETUP!$B$7)))),"")</f>
        <v/>
      </c>
      <c r="G198" s="11" t="str">
        <f>IF(LOWER(SETUP!$B$3)="yes",IF($E198="","",$E198*(1+SETUP!$B$4)),"")</f>
        <v/>
      </c>
      <c r="H198" s="11" t="str">
        <f>IF(LOWER(SETUP!$B$3)="yes",IF($F198="","",$F198*(1+SETUP!$B$4)),"")</f>
        <v/>
      </c>
      <c r="I198" s="12" t="str">
        <f>IF($C198&gt;0,($C198-$B198-($C198*SETUP!$B$5))/$C198,"")</f>
        <v/>
      </c>
      <c r="J198" s="11" t="e">
        <f>IF($E198&gt;0,$E198-$B198-($E198*SETUP!$B$5),"")</f>
        <v>#VALUE!</v>
      </c>
      <c r="K198" s="13" t="str">
        <f t="shared" si="6"/>
        <v/>
      </c>
    </row>
    <row r="199" spans="1:11" x14ac:dyDescent="0.3">
      <c r="A199" s="9"/>
      <c r="B199" s="10"/>
      <c r="C199" s="10"/>
      <c r="D199" s="11" t="str">
        <f>IF($B199&gt;0,$B199/(1-SETUP!$B$5),"")</f>
        <v/>
      </c>
      <c r="E199" s="11" t="str">
        <f>IF($B199&gt;0,IF((1-(SETUP!$B$6+SETUP!$B$5))&lt;=0,"Check setup",$B199/(1-(SETUP!$B$6+SETUP!$B$5))),"")</f>
        <v/>
      </c>
      <c r="F199" s="11" t="str">
        <f>IF($B199&gt;0,IF((1-(SETUP!$B$6+SETUP!$B$5+SETUP!$B$7))&lt;=0,"Check setup",IF(SETUP!$B$7=0,$E199,$B199/(1-(SETUP!$B$6+SETUP!$B$5+SETUP!$B$7)))),"")</f>
        <v/>
      </c>
      <c r="G199" s="11" t="str">
        <f>IF(LOWER(SETUP!$B$3)="yes",IF($E199="","",$E199*(1+SETUP!$B$4)),"")</f>
        <v/>
      </c>
      <c r="H199" s="11" t="str">
        <f>IF(LOWER(SETUP!$B$3)="yes",IF($F199="","",$F199*(1+SETUP!$B$4)),"")</f>
        <v/>
      </c>
      <c r="I199" s="12" t="str">
        <f>IF($C199&gt;0,($C199-$B199-($C199*SETUP!$B$5))/$C199,"")</f>
        <v/>
      </c>
      <c r="J199" s="11" t="e">
        <f>IF($E199&gt;0,$E199-$B199-($E199*SETUP!$B$5),"")</f>
        <v>#VALUE!</v>
      </c>
      <c r="K199" s="13" t="str">
        <f t="shared" si="6"/>
        <v/>
      </c>
    </row>
    <row r="200" spans="1:11" x14ac:dyDescent="0.3">
      <c r="A200" s="9"/>
      <c r="B200" s="10"/>
      <c r="C200" s="10"/>
      <c r="D200" s="11" t="str">
        <f>IF($B200&gt;0,$B200/(1-SETUP!$B$5),"")</f>
        <v/>
      </c>
      <c r="E200" s="11" t="str">
        <f>IF($B200&gt;0,IF((1-(SETUP!$B$6+SETUP!$B$5))&lt;=0,"Check setup",$B200/(1-(SETUP!$B$6+SETUP!$B$5))),"")</f>
        <v/>
      </c>
      <c r="F200" s="11" t="str">
        <f>IF($B200&gt;0,IF((1-(SETUP!$B$6+SETUP!$B$5+SETUP!$B$7))&lt;=0,"Check setup",IF(SETUP!$B$7=0,$E200,$B200/(1-(SETUP!$B$6+SETUP!$B$5+SETUP!$B$7)))),"")</f>
        <v/>
      </c>
      <c r="G200" s="11" t="str">
        <f>IF(LOWER(SETUP!$B$3)="yes",IF($E200="","",$E200*(1+SETUP!$B$4)),"")</f>
        <v/>
      </c>
      <c r="H200" s="11" t="str">
        <f>IF(LOWER(SETUP!$B$3)="yes",IF($F200="","",$F200*(1+SETUP!$B$4)),"")</f>
        <v/>
      </c>
      <c r="I200" s="12" t="str">
        <f>IF($C200&gt;0,($C200-$B200-($C200*SETUP!$B$5))/$C200,"")</f>
        <v/>
      </c>
      <c r="J200" s="11" t="e">
        <f>IF($E200&gt;0,$E200-$B200-($E200*SETUP!$B$5),"")</f>
        <v>#VALUE!</v>
      </c>
      <c r="K200" s="13" t="str">
        <f t="shared" si="6"/>
        <v/>
      </c>
    </row>
    <row r="201" spans="1:11" x14ac:dyDescent="0.3">
      <c r="A201" s="9"/>
      <c r="B201" s="10"/>
      <c r="C201" s="10"/>
      <c r="D201" s="11" t="str">
        <f>IF($B201&gt;0,$B201/(1-SETUP!$B$5),"")</f>
        <v/>
      </c>
      <c r="E201" s="11" t="str">
        <f>IF($B201&gt;0,IF((1-(SETUP!$B$6+SETUP!$B$5))&lt;=0,"Check setup",$B201/(1-(SETUP!$B$6+SETUP!$B$5))),"")</f>
        <v/>
      </c>
      <c r="F201" s="11" t="str">
        <f>IF($B201&gt;0,IF((1-(SETUP!$B$6+SETUP!$B$5+SETUP!$B$7))&lt;=0,"Check setup",IF(SETUP!$B$7=0,$E201,$B201/(1-(SETUP!$B$6+SETUP!$B$5+SETUP!$B$7)))),"")</f>
        <v/>
      </c>
      <c r="G201" s="11" t="str">
        <f>IF(LOWER(SETUP!$B$3)="yes",IF($E201="","",$E201*(1+SETUP!$B$4)),"")</f>
        <v/>
      </c>
      <c r="H201" s="11" t="str">
        <f>IF(LOWER(SETUP!$B$3)="yes",IF($F201="","",$F201*(1+SETUP!$B$4)),"")</f>
        <v/>
      </c>
      <c r="I201" s="12" t="str">
        <f>IF($C201&gt;0,($C201-$B201-($C201*SETUP!$B$5))/$C201,"")</f>
        <v/>
      </c>
      <c r="J201" s="11" t="e">
        <f>IF($E201&gt;0,$E201-$B201-($E201*SETUP!$B$5),"")</f>
        <v>#VALUE!</v>
      </c>
      <c r="K201" s="13" t="str">
        <f t="shared" si="6"/>
        <v/>
      </c>
    </row>
    <row r="202" spans="1:11" x14ac:dyDescent="0.3">
      <c r="A202" s="9"/>
      <c r="B202" s="10"/>
      <c r="C202" s="10"/>
      <c r="D202" s="11" t="str">
        <f>IF($B202&gt;0,$B202/(1-SETUP!$B$5),"")</f>
        <v/>
      </c>
      <c r="E202" s="11" t="str">
        <f>IF($B202&gt;0,IF((1-(SETUP!$B$6+SETUP!$B$5))&lt;=0,"Check setup",$B202/(1-(SETUP!$B$6+SETUP!$B$5))),"")</f>
        <v/>
      </c>
      <c r="F202" s="11" t="str">
        <f>IF($B202&gt;0,IF((1-(SETUP!$B$6+SETUP!$B$5+SETUP!$B$7))&lt;=0,"Check setup",IF(SETUP!$B$7=0,$E202,$B202/(1-(SETUP!$B$6+SETUP!$B$5+SETUP!$B$7)))),"")</f>
        <v/>
      </c>
      <c r="G202" s="11" t="str">
        <f>IF(LOWER(SETUP!$B$3)="yes",IF($E202="","",$E202*(1+SETUP!$B$4)),"")</f>
        <v/>
      </c>
      <c r="H202" s="11" t="str">
        <f>IF(LOWER(SETUP!$B$3)="yes",IF($F202="","",$F202*(1+SETUP!$B$4)),"")</f>
        <v/>
      </c>
      <c r="I202" s="12" t="str">
        <f>IF($C202&gt;0,($C202-$B202-($C202*SETUP!$B$5))/$C202,"")</f>
        <v/>
      </c>
      <c r="J202" s="11" t="e">
        <f>IF($E202&gt;0,$E202-$B202-($E202*SETUP!$B$5),"")</f>
        <v>#VALUE!</v>
      </c>
      <c r="K202" s="13" t="str">
        <f t="shared" si="6"/>
        <v/>
      </c>
    </row>
    <row r="203" spans="1:11" x14ac:dyDescent="0.3">
      <c r="A203" s="9"/>
      <c r="B203" s="10"/>
      <c r="C203" s="10"/>
      <c r="D203" s="11" t="str">
        <f>IF($B203&gt;0,$B203/(1-SETUP!$B$5),"")</f>
        <v/>
      </c>
      <c r="E203" s="11" t="str">
        <f>IF($B203&gt;0,IF((1-(SETUP!$B$6+SETUP!$B$5))&lt;=0,"Check setup",$B203/(1-(SETUP!$B$6+SETUP!$B$5))),"")</f>
        <v/>
      </c>
      <c r="F203" s="11" t="str">
        <f>IF($B203&gt;0,IF((1-(SETUP!$B$6+SETUP!$B$5+SETUP!$B$7))&lt;=0,"Check setup",IF(SETUP!$B$7=0,$E203,$B203/(1-(SETUP!$B$6+SETUP!$B$5+SETUP!$B$7)))),"")</f>
        <v/>
      </c>
      <c r="G203" s="11" t="str">
        <f>IF(LOWER(SETUP!$B$3)="yes",IF($E203="","",$E203*(1+SETUP!$B$4)),"")</f>
        <v/>
      </c>
      <c r="H203" s="11" t="str">
        <f>IF(LOWER(SETUP!$B$3)="yes",IF($F203="","",$F203*(1+SETUP!$B$4)),"")</f>
        <v/>
      </c>
      <c r="I203" s="12" t="str">
        <f>IF($C203&gt;0,($C203-$B203-($C203*SETUP!$B$5))/$C203,"")</f>
        <v/>
      </c>
      <c r="J203" s="11" t="e">
        <f>IF($E203&gt;0,$E203-$B203-($E203*SETUP!$B$5),"")</f>
        <v>#VALUE!</v>
      </c>
      <c r="K203" s="13" t="str">
        <f t="shared" si="6"/>
        <v/>
      </c>
    </row>
  </sheetData>
  <sheetProtection sheet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SETUP</vt:lpstr>
      <vt:lpstr>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 Battistini</cp:lastModifiedBy>
  <dcterms:created xsi:type="dcterms:W3CDTF">2026-01-22T04:44:52Z</dcterms:created>
  <dcterms:modified xsi:type="dcterms:W3CDTF">2026-01-22T04:50:26Z</dcterms:modified>
</cp:coreProperties>
</file>