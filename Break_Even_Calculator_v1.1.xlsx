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fantasticthings-my.sharepoint.com/personal/mbattistini_troveuk_com/Documents/TROVE - NEW/Website uploads/Spreadsheets/"/>
    </mc:Choice>
  </mc:AlternateContent>
  <xr:revisionPtr revIDLastSave="0" documentId="8_{B5032C6D-F4B9-42FA-85ED-D1AFB149DB1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STRUCTIONS" sheetId="1" r:id="rId1"/>
    <sheet name="SETUP" sheetId="2" r:id="rId2"/>
    <sheet name="BREAK_EV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4" i="3" l="1"/>
  <c r="B7" i="3" s="1"/>
  <c r="B5" i="3" l="1"/>
  <c r="B6" i="3" s="1"/>
</calcChain>
</file>

<file path=xl/sharedStrings.xml><?xml version="1.0" encoding="utf-8"?>
<sst xmlns="http://schemas.openxmlformats.org/spreadsheetml/2006/main" count="38" uniqueCount="33">
  <si>
    <t>Break-Even Calculator (Basic)</t>
  </si>
  <si>
    <t>Purpose</t>
  </si>
  <si>
    <t>This tool tells you the minimum sales your business needs to cover its costs.</t>
  </si>
  <si>
    <t>It also shows how many sales per day you need to break even.</t>
  </si>
  <si>
    <t>How to use</t>
  </si>
  <si>
    <t>1) Fill in the yellow cells on the SETUP tab.</t>
  </si>
  <si>
    <t>2) Read your break-even results on the BREAK_EVEN tab.</t>
  </si>
  <si>
    <t>Notes</t>
  </si>
  <si>
    <t>• Enter figures ex VAT.</t>
  </si>
  <si>
    <t>• Use your best estimate if you do not know the exact numbers.</t>
  </si>
  <si>
    <t>SETUP (fill yellow cells)</t>
  </si>
  <si>
    <t>Average gross margin %</t>
  </si>
  <si>
    <t>Tip</t>
  </si>
  <si>
    <t>If unsure, use 40% as a starting point.</t>
  </si>
  <si>
    <t>Card fees % (average)</t>
  </si>
  <si>
    <t>If unsure, use 1.5–2.0%.</t>
  </si>
  <si>
    <t>Monthly rent</t>
  </si>
  <si>
    <t>Use your tenancy / rent payment.</t>
  </si>
  <si>
    <t>Monthly wages</t>
  </si>
  <si>
    <t>Use your payroll total.</t>
  </si>
  <si>
    <t>Other monthly fixed costs</t>
  </si>
  <si>
    <t>Utilities, insurance, software, etc.</t>
  </si>
  <si>
    <t>Days open per week</t>
  </si>
  <si>
    <t>Most shops are 6 or 7.</t>
  </si>
  <si>
    <t>BREAK-EVEN RESULTS</t>
  </si>
  <si>
    <t>Total monthly fixed costs</t>
  </si>
  <si>
    <t>Effective margin after card fees</t>
  </si>
  <si>
    <t>Break-even sales per month (ex VAT)</t>
  </si>
  <si>
    <t>Break-even sales per week (ex VAT)</t>
  </si>
  <si>
    <t>Break-even sales per day (ex VAT)</t>
  </si>
  <si>
    <t>If you want a 10% buffer, aim for (per month)</t>
  </si>
  <si>
    <t>Advisory</t>
  </si>
  <si>
    <t>If your current sales are below the break-even figure, action is recommended (pricing, margin, costs, or sales volume).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</si>
</sst>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i/>
      <sz val="10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10" fontId="0" fillId="2" borderId="0" xfId="0" applyNumberFormat="1" applyFill="1" applyProtection="1">
      <protection locked="0"/>
    </xf>
    <xf numFmtId="0" fontId="4" fillId="0" borderId="0" xfId="0" applyFont="1" applyAlignment="1">
      <alignment vertical="top" wrapText="1"/>
    </xf>
    <xf numFmtId="164" fontId="0" fillId="2" borderId="0" xfId="0" applyNumberFormat="1" applyFill="1" applyProtection="1">
      <protection locked="0"/>
    </xf>
    <xf numFmtId="1" fontId="0" fillId="2" borderId="0" xfId="0" applyNumberFormat="1" applyFill="1" applyProtection="1">
      <protection locked="0"/>
    </xf>
    <xf numFmtId="0" fontId="5" fillId="3" borderId="0" xfId="0" applyFont="1" applyFill="1" applyAlignment="1">
      <alignment wrapText="1"/>
    </xf>
    <xf numFmtId="164" fontId="5" fillId="0" borderId="0" xfId="0" applyNumberFormat="1" applyFont="1"/>
    <xf numFmtId="0" fontId="6" fillId="0" borderId="0" xfId="0" applyFont="1" applyAlignment="1">
      <alignment wrapText="1"/>
    </xf>
    <xf numFmtId="165" fontId="5" fillId="0" borderId="0" xfId="0" applyNumberFormat="1" applyFont="1"/>
    <xf numFmtId="0" fontId="5" fillId="0" borderId="0" xfId="0" applyFont="1"/>
    <xf numFmtId="0" fontId="4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4.4" x14ac:dyDescent="0.3"/>
  <cols>
    <col min="1" max="1" width="95" customWidth="1"/>
  </cols>
  <sheetData>
    <row r="1" spans="1:1" ht="18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/>
    </row>
    <row r="11" spans="1:1" x14ac:dyDescent="0.3">
      <c r="A11" s="3" t="s">
        <v>7</v>
      </c>
    </row>
    <row r="12" spans="1:1" x14ac:dyDescent="0.3">
      <c r="A12" s="2" t="s">
        <v>8</v>
      </c>
    </row>
    <row r="13" spans="1:1" x14ac:dyDescent="0.3">
      <c r="A13" s="2" t="s">
        <v>9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11" sqref="B11"/>
    </sheetView>
  </sheetViews>
  <sheetFormatPr defaultRowHeight="14.4" x14ac:dyDescent="0.3"/>
  <cols>
    <col min="1" max="1" width="35" customWidth="1"/>
    <col min="2" max="2" width="18" customWidth="1"/>
    <col min="3" max="3" width="8" customWidth="1"/>
    <col min="4" max="4" width="60" customWidth="1"/>
  </cols>
  <sheetData>
    <row r="1" spans="1:4" ht="15.6" x14ac:dyDescent="0.3">
      <c r="A1" s="4" t="s">
        <v>10</v>
      </c>
    </row>
    <row r="3" spans="1:4" x14ac:dyDescent="0.3">
      <c r="A3" t="s">
        <v>11</v>
      </c>
      <c r="B3" s="5">
        <v>0.25</v>
      </c>
      <c r="C3" t="s">
        <v>12</v>
      </c>
      <c r="D3" s="6" t="s">
        <v>13</v>
      </c>
    </row>
    <row r="4" spans="1:4" x14ac:dyDescent="0.3">
      <c r="A4" t="s">
        <v>14</v>
      </c>
      <c r="B4" s="5">
        <v>1.7999999999999999E-2</v>
      </c>
      <c r="C4" t="s">
        <v>12</v>
      </c>
      <c r="D4" s="6" t="s">
        <v>15</v>
      </c>
    </row>
    <row r="5" spans="1:4" x14ac:dyDescent="0.3">
      <c r="A5" t="s">
        <v>16</v>
      </c>
      <c r="B5" s="7">
        <v>5000</v>
      </c>
      <c r="C5" t="s">
        <v>12</v>
      </c>
      <c r="D5" s="6" t="s">
        <v>17</v>
      </c>
    </row>
    <row r="6" spans="1:4" x14ac:dyDescent="0.3">
      <c r="A6" t="s">
        <v>18</v>
      </c>
      <c r="B6" s="7">
        <v>1000</v>
      </c>
      <c r="C6" t="s">
        <v>12</v>
      </c>
      <c r="D6" s="6" t="s">
        <v>19</v>
      </c>
    </row>
    <row r="7" spans="1:4" x14ac:dyDescent="0.3">
      <c r="A7" t="s">
        <v>20</v>
      </c>
      <c r="B7" s="7">
        <v>500</v>
      </c>
      <c r="C7" t="s">
        <v>12</v>
      </c>
      <c r="D7" s="6" t="s">
        <v>21</v>
      </c>
    </row>
    <row r="8" spans="1:4" x14ac:dyDescent="0.3">
      <c r="A8" t="s">
        <v>22</v>
      </c>
      <c r="B8" s="8">
        <v>7</v>
      </c>
      <c r="C8" t="s">
        <v>12</v>
      </c>
      <c r="D8" s="6" t="s">
        <v>23</v>
      </c>
    </row>
  </sheetData>
  <sheetProtection sheet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tabSelected="1" workbookViewId="0"/>
  </sheetViews>
  <sheetFormatPr defaultRowHeight="14.4" x14ac:dyDescent="0.3"/>
  <cols>
    <col min="1" max="1" width="52" customWidth="1"/>
    <col min="2" max="2" width="22" customWidth="1"/>
  </cols>
  <sheetData>
    <row r="1" spans="1:2" ht="15.6" x14ac:dyDescent="0.3">
      <c r="A1" s="4" t="s">
        <v>24</v>
      </c>
    </row>
    <row r="2" spans="1:2" x14ac:dyDescent="0.3">
      <c r="A2" s="9" t="s">
        <v>25</v>
      </c>
      <c r="B2" s="10">
        <f>SETUP!$B$5+SETUP!$B$6+SETUP!$B$7</f>
        <v>6500</v>
      </c>
    </row>
    <row r="3" spans="1:2" x14ac:dyDescent="0.3">
      <c r="A3" s="11" t="s">
        <v>26</v>
      </c>
      <c r="B3" s="12">
        <f>IF(SETUP!$B$3-SETUP!$B$4&lt;=0,"Check margin/card fees",SETUP!$B$3-SETUP!$B$4)</f>
        <v>0.23200000000000001</v>
      </c>
    </row>
    <row r="4" spans="1:2" x14ac:dyDescent="0.3">
      <c r="A4" s="11" t="s">
        <v>27</v>
      </c>
      <c r="B4" s="10">
        <f>IF(OR(B2="",B3=""),"",IF(ISNUMBER(B3),IF(B3=0,"Check margin/card fees",B2/B3),""))</f>
        <v>28017.241379310344</v>
      </c>
    </row>
    <row r="5" spans="1:2" x14ac:dyDescent="0.3">
      <c r="A5" s="11" t="s">
        <v>28</v>
      </c>
      <c r="B5" s="10">
        <f>IF(B4="","",B4/4.3452)</f>
        <v>6447.8600246962951</v>
      </c>
    </row>
    <row r="6" spans="1:2" x14ac:dyDescent="0.3">
      <c r="A6" s="11" t="s">
        <v>29</v>
      </c>
      <c r="B6" s="10">
        <f>IF(B5="","",B5/SETUP!$B$8)</f>
        <v>921.12286067089929</v>
      </c>
    </row>
    <row r="7" spans="1:2" x14ac:dyDescent="0.3">
      <c r="A7" s="11" t="s">
        <v>30</v>
      </c>
      <c r="B7" s="10">
        <f>IF(B4="","",B4*1.1)</f>
        <v>30818.96551724138</v>
      </c>
    </row>
    <row r="10" spans="1:2" x14ac:dyDescent="0.3">
      <c r="A10" s="13" t="s">
        <v>31</v>
      </c>
    </row>
    <row r="11" spans="1:2" x14ac:dyDescent="0.3">
      <c r="A11" s="14" t="s">
        <v>32</v>
      </c>
      <c r="B11" s="15"/>
    </row>
    <row r="12" spans="1:2" x14ac:dyDescent="0.3">
      <c r="A12" s="15"/>
      <c r="B12" s="15"/>
    </row>
  </sheetData>
  <sheetProtection sheet="1"/>
  <mergeCells count="1">
    <mergeCell ref="A11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SETUP</vt:lpstr>
      <vt:lpstr>BREAK_EVEN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 Battistini</cp:lastModifiedBy>
  <dcterms:created xsi:type="dcterms:W3CDTF">2026-01-22T04:53:57Z</dcterms:created>
  <dcterms:modified xsi:type="dcterms:W3CDTF">2026-01-22T05:06:42Z</dcterms:modified>
</cp:coreProperties>
</file>