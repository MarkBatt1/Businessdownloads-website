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fantasticthings-my.sharepoint.com/personal/mbattistini_troveuk_com/Documents/TROVE - NEW/Website uploads/Spreadsheets/"/>
    </mc:Choice>
  </mc:AlternateContent>
  <xr:revisionPtr revIDLastSave="0" documentId="8_{9619D141-DE16-456E-ACE4-3384D08799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STRUCTIONS" sheetId="1" r:id="rId1"/>
    <sheet name="SETUP" sheetId="2" r:id="rId2"/>
    <sheet name="ONE_OFF_EVENTS" sheetId="3" r:id="rId3"/>
    <sheet name="WEEKLY_PLANNER" sheetId="4" r:id="rId4"/>
    <sheet name="DAILY_PLANNER" sheetId="5" r:id="rId5"/>
    <sheet name="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3" i="5" l="1"/>
  <c r="C93" i="5"/>
  <c r="E93" i="5" s="1"/>
  <c r="A93" i="5"/>
  <c r="B93" i="5" s="1"/>
  <c r="G92" i="5"/>
  <c r="F92" i="5"/>
  <c r="C92" i="5"/>
  <c r="A92" i="5"/>
  <c r="B92" i="5" s="1"/>
  <c r="F91" i="5"/>
  <c r="C91" i="5"/>
  <c r="D91" i="5" s="1"/>
  <c r="A91" i="5"/>
  <c r="B91" i="5" s="1"/>
  <c r="F90" i="5"/>
  <c r="C90" i="5"/>
  <c r="D90" i="5" s="1"/>
  <c r="A90" i="5"/>
  <c r="B90" i="5" s="1"/>
  <c r="F89" i="5"/>
  <c r="C89" i="5"/>
  <c r="D89" i="5" s="1"/>
  <c r="A89" i="5"/>
  <c r="B89" i="5" s="1"/>
  <c r="F88" i="5"/>
  <c r="C88" i="5"/>
  <c r="D88" i="5" s="1"/>
  <c r="A88" i="5"/>
  <c r="B88" i="5" s="1"/>
  <c r="F87" i="5"/>
  <c r="E87" i="5"/>
  <c r="C87" i="5"/>
  <c r="D87" i="5" s="1"/>
  <c r="A87" i="5"/>
  <c r="B87" i="5" s="1"/>
  <c r="G86" i="5"/>
  <c r="F86" i="5"/>
  <c r="C86" i="5"/>
  <c r="D86" i="5" s="1"/>
  <c r="A86" i="5"/>
  <c r="B86" i="5" s="1"/>
  <c r="F85" i="5"/>
  <c r="E85" i="5"/>
  <c r="C85" i="5"/>
  <c r="D85" i="5" s="1"/>
  <c r="A85" i="5"/>
  <c r="B85" i="5" s="1"/>
  <c r="F84" i="5"/>
  <c r="C84" i="5"/>
  <c r="D84" i="5" s="1"/>
  <c r="A84" i="5"/>
  <c r="F83" i="5"/>
  <c r="C83" i="5"/>
  <c r="A83" i="5"/>
  <c r="B83" i="5" s="1"/>
  <c r="F82" i="5"/>
  <c r="C82" i="5"/>
  <c r="D82" i="5" s="1"/>
  <c r="A82" i="5"/>
  <c r="B82" i="5" s="1"/>
  <c r="F81" i="5"/>
  <c r="E81" i="5"/>
  <c r="C81" i="5"/>
  <c r="A81" i="5"/>
  <c r="B81" i="5" s="1"/>
  <c r="F80" i="5"/>
  <c r="C80" i="5"/>
  <c r="D80" i="5" s="1"/>
  <c r="A80" i="5"/>
  <c r="B80" i="5" s="1"/>
  <c r="F79" i="5"/>
  <c r="E79" i="5"/>
  <c r="C79" i="5"/>
  <c r="D79" i="5" s="1"/>
  <c r="A79" i="5"/>
  <c r="B79" i="5" s="1"/>
  <c r="G78" i="5"/>
  <c r="F78" i="5"/>
  <c r="C78" i="5"/>
  <c r="D78" i="5" s="1"/>
  <c r="A78" i="5"/>
  <c r="B78" i="5" s="1"/>
  <c r="F77" i="5"/>
  <c r="E77" i="5"/>
  <c r="C77" i="5"/>
  <c r="D77" i="5" s="1"/>
  <c r="A77" i="5"/>
  <c r="B77" i="5" s="1"/>
  <c r="F76" i="5"/>
  <c r="C76" i="5"/>
  <c r="D76" i="5" s="1"/>
  <c r="A76" i="5"/>
  <c r="F75" i="5"/>
  <c r="C75" i="5"/>
  <c r="A75" i="5"/>
  <c r="B75" i="5" s="1"/>
  <c r="F74" i="5"/>
  <c r="C74" i="5"/>
  <c r="D74" i="5" s="1"/>
  <c r="A74" i="5"/>
  <c r="B74" i="5" s="1"/>
  <c r="F73" i="5"/>
  <c r="E73" i="5"/>
  <c r="C73" i="5"/>
  <c r="D73" i="5" s="1"/>
  <c r="A73" i="5"/>
  <c r="B73" i="5" s="1"/>
  <c r="F72" i="5"/>
  <c r="C72" i="5"/>
  <c r="D72" i="5" s="1"/>
  <c r="A72" i="5"/>
  <c r="B72" i="5" s="1"/>
  <c r="F71" i="5"/>
  <c r="E71" i="5"/>
  <c r="C71" i="5"/>
  <c r="D71" i="5" s="1"/>
  <c r="A71" i="5"/>
  <c r="B71" i="5" s="1"/>
  <c r="G70" i="5"/>
  <c r="F70" i="5"/>
  <c r="C70" i="5"/>
  <c r="D70" i="5" s="1"/>
  <c r="A70" i="5"/>
  <c r="B70" i="5" s="1"/>
  <c r="F69" i="5"/>
  <c r="E69" i="5"/>
  <c r="C69" i="5"/>
  <c r="D69" i="5" s="1"/>
  <c r="A69" i="5"/>
  <c r="B69" i="5" s="1"/>
  <c r="F68" i="5"/>
  <c r="C68" i="5"/>
  <c r="D68" i="5" s="1"/>
  <c r="A68" i="5"/>
  <c r="F67" i="5"/>
  <c r="C67" i="5"/>
  <c r="A67" i="5"/>
  <c r="B67" i="5" s="1"/>
  <c r="F66" i="5"/>
  <c r="C66" i="5"/>
  <c r="D66" i="5" s="1"/>
  <c r="A66" i="5"/>
  <c r="B66" i="5" s="1"/>
  <c r="F65" i="5"/>
  <c r="E65" i="5"/>
  <c r="C65" i="5"/>
  <c r="D65" i="5" s="1"/>
  <c r="A65" i="5"/>
  <c r="B65" i="5" s="1"/>
  <c r="F64" i="5"/>
  <c r="C64" i="5"/>
  <c r="D64" i="5" s="1"/>
  <c r="A64" i="5"/>
  <c r="B64" i="5" s="1"/>
  <c r="F63" i="5"/>
  <c r="E63" i="5"/>
  <c r="C63" i="5"/>
  <c r="D63" i="5" s="1"/>
  <c r="A63" i="5"/>
  <c r="B63" i="5" s="1"/>
  <c r="G62" i="5"/>
  <c r="F62" i="5"/>
  <c r="C62" i="5"/>
  <c r="D62" i="5" s="1"/>
  <c r="A62" i="5"/>
  <c r="B62" i="5" s="1"/>
  <c r="F61" i="5"/>
  <c r="C61" i="5"/>
  <c r="A61" i="5"/>
  <c r="F60" i="5"/>
  <c r="F12" i="4" s="1"/>
  <c r="C60" i="5"/>
  <c r="D60" i="5" s="1"/>
  <c r="B60" i="5"/>
  <c r="A60" i="5"/>
  <c r="G60" i="5" s="1"/>
  <c r="F59" i="5"/>
  <c r="C59" i="5"/>
  <c r="A59" i="5"/>
  <c r="B59" i="5" s="1"/>
  <c r="F58" i="5"/>
  <c r="C58" i="5"/>
  <c r="D58" i="5" s="1"/>
  <c r="B58" i="5"/>
  <c r="A58" i="5"/>
  <c r="G58" i="5" s="1"/>
  <c r="F57" i="5"/>
  <c r="C57" i="5"/>
  <c r="A57" i="5"/>
  <c r="B57" i="5" s="1"/>
  <c r="F56" i="5"/>
  <c r="F11" i="4" s="1"/>
  <c r="C56" i="5"/>
  <c r="D56" i="5" s="1"/>
  <c r="B56" i="5"/>
  <c r="A56" i="5"/>
  <c r="G56" i="5" s="1"/>
  <c r="G55" i="5"/>
  <c r="F55" i="5"/>
  <c r="C55" i="5"/>
  <c r="A55" i="5"/>
  <c r="B55" i="5" s="1"/>
  <c r="G54" i="5"/>
  <c r="F54" i="5"/>
  <c r="C54" i="5"/>
  <c r="D54" i="5" s="1"/>
  <c r="A54" i="5"/>
  <c r="B54" i="5" s="1"/>
  <c r="F53" i="5"/>
  <c r="C53" i="5"/>
  <c r="A53" i="5"/>
  <c r="F52" i="5"/>
  <c r="C52" i="5"/>
  <c r="D52" i="5" s="1"/>
  <c r="B52" i="5"/>
  <c r="A52" i="5"/>
  <c r="G52" i="5" s="1"/>
  <c r="G51" i="5"/>
  <c r="F51" i="5"/>
  <c r="D51" i="5"/>
  <c r="H51" i="5" s="1"/>
  <c r="C51" i="5"/>
  <c r="E51" i="5" s="1"/>
  <c r="A51" i="5"/>
  <c r="B51" i="5" s="1"/>
  <c r="F50" i="5"/>
  <c r="E50" i="5"/>
  <c r="C50" i="5"/>
  <c r="D50" i="5" s="1"/>
  <c r="B50" i="5"/>
  <c r="A50" i="5"/>
  <c r="G50" i="5" s="1"/>
  <c r="G49" i="5"/>
  <c r="F49" i="5"/>
  <c r="C49" i="5"/>
  <c r="E49" i="5" s="1"/>
  <c r="A49" i="5"/>
  <c r="B49" i="5" s="1"/>
  <c r="F48" i="5"/>
  <c r="E48" i="5"/>
  <c r="C48" i="5"/>
  <c r="D48" i="5" s="1"/>
  <c r="A48" i="5"/>
  <c r="G48" i="5" s="1"/>
  <c r="G47" i="5"/>
  <c r="F47" i="5"/>
  <c r="C47" i="5"/>
  <c r="A47" i="5"/>
  <c r="B47" i="5" s="1"/>
  <c r="F46" i="5"/>
  <c r="E46" i="5"/>
  <c r="C46" i="5"/>
  <c r="D46" i="5" s="1"/>
  <c r="A46" i="5"/>
  <c r="G45" i="5"/>
  <c r="F45" i="5"/>
  <c r="D45" i="5"/>
  <c r="H45" i="5" s="1"/>
  <c r="C45" i="5"/>
  <c r="E45" i="5" s="1"/>
  <c r="A45" i="5"/>
  <c r="B45" i="5" s="1"/>
  <c r="F44" i="5"/>
  <c r="E44" i="5"/>
  <c r="C44" i="5"/>
  <c r="D44" i="5" s="1"/>
  <c r="B44" i="5"/>
  <c r="A44" i="5"/>
  <c r="G44" i="5" s="1"/>
  <c r="G43" i="5"/>
  <c r="F43" i="5"/>
  <c r="D43" i="5"/>
  <c r="H43" i="5" s="1"/>
  <c r="C43" i="5"/>
  <c r="E43" i="5" s="1"/>
  <c r="A43" i="5"/>
  <c r="B43" i="5" s="1"/>
  <c r="F42" i="5"/>
  <c r="E42" i="5"/>
  <c r="C42" i="5"/>
  <c r="D42" i="5" s="1"/>
  <c r="B42" i="5"/>
  <c r="A42" i="5"/>
  <c r="G42" i="5" s="1"/>
  <c r="G41" i="5"/>
  <c r="G9" i="4" s="1"/>
  <c r="F41" i="5"/>
  <c r="C41" i="5"/>
  <c r="E41" i="5" s="1"/>
  <c r="A41" i="5"/>
  <c r="B41" i="5" s="1"/>
  <c r="F40" i="5"/>
  <c r="F9" i="4" s="1"/>
  <c r="E40" i="5"/>
  <c r="C40" i="5"/>
  <c r="D40" i="5" s="1"/>
  <c r="A40" i="5"/>
  <c r="G40" i="5" s="1"/>
  <c r="G39" i="5"/>
  <c r="F39" i="5"/>
  <c r="C39" i="5"/>
  <c r="C9" i="4" s="1"/>
  <c r="A39" i="5"/>
  <c r="B39" i="5" s="1"/>
  <c r="F38" i="5"/>
  <c r="E38" i="5"/>
  <c r="C38" i="5"/>
  <c r="D38" i="5" s="1"/>
  <c r="A38" i="5"/>
  <c r="G37" i="5"/>
  <c r="F37" i="5"/>
  <c r="D37" i="5"/>
  <c r="H37" i="5" s="1"/>
  <c r="C37" i="5"/>
  <c r="E37" i="5" s="1"/>
  <c r="A37" i="5"/>
  <c r="B37" i="5" s="1"/>
  <c r="F36" i="5"/>
  <c r="E36" i="5"/>
  <c r="C36" i="5"/>
  <c r="D36" i="5" s="1"/>
  <c r="B36" i="5"/>
  <c r="A36" i="5"/>
  <c r="G36" i="5" s="1"/>
  <c r="G35" i="5"/>
  <c r="F35" i="5"/>
  <c r="D35" i="5"/>
  <c r="H35" i="5" s="1"/>
  <c r="C35" i="5"/>
  <c r="E35" i="5" s="1"/>
  <c r="A35" i="5"/>
  <c r="B35" i="5" s="1"/>
  <c r="F34" i="5"/>
  <c r="E34" i="5"/>
  <c r="C34" i="5"/>
  <c r="D34" i="5" s="1"/>
  <c r="B34" i="5"/>
  <c r="A34" i="5"/>
  <c r="G34" i="5" s="1"/>
  <c r="G33" i="5"/>
  <c r="F33" i="5"/>
  <c r="C33" i="5"/>
  <c r="E33" i="5" s="1"/>
  <c r="E8" i="4" s="1"/>
  <c r="A33" i="5"/>
  <c r="B33" i="5" s="1"/>
  <c r="F32" i="5"/>
  <c r="F8" i="4" s="1"/>
  <c r="E32" i="5"/>
  <c r="C32" i="5"/>
  <c r="D32" i="5" s="1"/>
  <c r="A32" i="5"/>
  <c r="F31" i="5"/>
  <c r="C31" i="5"/>
  <c r="D31" i="5" s="1"/>
  <c r="A31" i="5"/>
  <c r="F30" i="5"/>
  <c r="E30" i="5"/>
  <c r="C30" i="5"/>
  <c r="D30" i="5" s="1"/>
  <c r="A30" i="5"/>
  <c r="F29" i="5"/>
  <c r="C29" i="5"/>
  <c r="D29" i="5" s="1"/>
  <c r="A29" i="5"/>
  <c r="F28" i="5"/>
  <c r="E28" i="5"/>
  <c r="C28" i="5"/>
  <c r="D28" i="5" s="1"/>
  <c r="A28" i="5"/>
  <c r="F27" i="5"/>
  <c r="C27" i="5"/>
  <c r="D27" i="5" s="1"/>
  <c r="A27" i="5"/>
  <c r="F26" i="5"/>
  <c r="F7" i="4" s="1"/>
  <c r="E26" i="5"/>
  <c r="C26" i="5"/>
  <c r="D26" i="5" s="1"/>
  <c r="A26" i="5"/>
  <c r="F25" i="5"/>
  <c r="C25" i="5"/>
  <c r="C7" i="4" s="1"/>
  <c r="A25" i="5"/>
  <c r="G24" i="5"/>
  <c r="F24" i="5"/>
  <c r="E24" i="5"/>
  <c r="C24" i="5"/>
  <c r="D24" i="5" s="1"/>
  <c r="B24" i="5"/>
  <c r="A24" i="5"/>
  <c r="F23" i="5"/>
  <c r="C23" i="5"/>
  <c r="A23" i="5"/>
  <c r="B23" i="5" s="1"/>
  <c r="F22" i="5"/>
  <c r="E22" i="5"/>
  <c r="C22" i="5"/>
  <c r="D22" i="5" s="1"/>
  <c r="A22" i="5"/>
  <c r="G22" i="5" s="1"/>
  <c r="G21" i="5"/>
  <c r="F21" i="5"/>
  <c r="C21" i="5"/>
  <c r="A21" i="5"/>
  <c r="B21" i="5" s="1"/>
  <c r="G20" i="5"/>
  <c r="F20" i="5"/>
  <c r="E20" i="5"/>
  <c r="C20" i="5"/>
  <c r="D20" i="5" s="1"/>
  <c r="B20" i="5"/>
  <c r="A20" i="5"/>
  <c r="F19" i="5"/>
  <c r="C19" i="5"/>
  <c r="A19" i="5"/>
  <c r="B19" i="5" s="1"/>
  <c r="F18" i="5"/>
  <c r="F6" i="4" s="1"/>
  <c r="E18" i="5"/>
  <c r="C18" i="5"/>
  <c r="D18" i="5" s="1"/>
  <c r="A18" i="5"/>
  <c r="G18" i="5" s="1"/>
  <c r="G17" i="5"/>
  <c r="F17" i="5"/>
  <c r="C17" i="5"/>
  <c r="A17" i="5"/>
  <c r="B17" i="5" s="1"/>
  <c r="G16" i="5"/>
  <c r="F16" i="5"/>
  <c r="E16" i="5"/>
  <c r="C16" i="5"/>
  <c r="D16" i="5" s="1"/>
  <c r="B16" i="5"/>
  <c r="A16" i="5"/>
  <c r="F15" i="5"/>
  <c r="C15" i="5"/>
  <c r="A15" i="5"/>
  <c r="B15" i="5" s="1"/>
  <c r="F14" i="5"/>
  <c r="E14" i="5"/>
  <c r="C14" i="5"/>
  <c r="D14" i="5" s="1"/>
  <c r="A14" i="5"/>
  <c r="G14" i="5" s="1"/>
  <c r="G13" i="5"/>
  <c r="F13" i="5"/>
  <c r="C13" i="5"/>
  <c r="A13" i="5"/>
  <c r="B13" i="5" s="1"/>
  <c r="G12" i="5"/>
  <c r="F12" i="5"/>
  <c r="E12" i="5"/>
  <c r="C12" i="5"/>
  <c r="D12" i="5" s="1"/>
  <c r="B12" i="5"/>
  <c r="A12" i="5"/>
  <c r="F11" i="5"/>
  <c r="C11" i="5"/>
  <c r="C5" i="4" s="1"/>
  <c r="A11" i="5"/>
  <c r="B11" i="5" s="1"/>
  <c r="F10" i="5"/>
  <c r="E10" i="5"/>
  <c r="C10" i="5"/>
  <c r="D10" i="5" s="1"/>
  <c r="A10" i="5"/>
  <c r="G10" i="5" s="1"/>
  <c r="G9" i="5"/>
  <c r="F9" i="5"/>
  <c r="C9" i="5"/>
  <c r="A9" i="5"/>
  <c r="B9" i="5" s="1"/>
  <c r="G8" i="5"/>
  <c r="F8" i="5"/>
  <c r="E8" i="5"/>
  <c r="C8" i="5"/>
  <c r="D8" i="5" s="1"/>
  <c r="B8" i="5"/>
  <c r="A8" i="5"/>
  <c r="F7" i="5"/>
  <c r="C7" i="5"/>
  <c r="C4" i="4" s="1"/>
  <c r="A7" i="5"/>
  <c r="B7" i="5" s="1"/>
  <c r="F6" i="5"/>
  <c r="E6" i="5"/>
  <c r="C6" i="5"/>
  <c r="D6" i="5" s="1"/>
  <c r="A6" i="5"/>
  <c r="G6" i="5" s="1"/>
  <c r="G5" i="5"/>
  <c r="F5" i="5"/>
  <c r="C5" i="5"/>
  <c r="A5" i="5"/>
  <c r="B5" i="5" s="1"/>
  <c r="I4" i="5"/>
  <c r="G4" i="5"/>
  <c r="F4" i="5"/>
  <c r="E4" i="5"/>
  <c r="C4" i="5"/>
  <c r="D4" i="5" s="1"/>
  <c r="B4" i="5"/>
  <c r="A4" i="5"/>
  <c r="F16" i="4"/>
  <c r="C16" i="4"/>
  <c r="B16" i="4"/>
  <c r="F15" i="4"/>
  <c r="B15" i="4"/>
  <c r="F14" i="4"/>
  <c r="B14" i="4"/>
  <c r="F13" i="4"/>
  <c r="B13" i="4"/>
  <c r="C12" i="4"/>
  <c r="B12" i="4"/>
  <c r="B11" i="4"/>
  <c r="F10" i="4"/>
  <c r="B10" i="4"/>
  <c r="B9" i="4"/>
  <c r="C8" i="4"/>
  <c r="B8" i="4"/>
  <c r="B7" i="4"/>
  <c r="B6" i="4"/>
  <c r="B5" i="4"/>
  <c r="I4" i="4"/>
  <c r="F4" i="4"/>
  <c r="B4" i="4"/>
  <c r="H34" i="5" l="1"/>
  <c r="H42" i="5"/>
  <c r="H50" i="5"/>
  <c r="H36" i="5"/>
  <c r="H44" i="5"/>
  <c r="D15" i="5"/>
  <c r="E15" i="5"/>
  <c r="D23" i="5"/>
  <c r="E23" i="5"/>
  <c r="G26" i="5"/>
  <c r="B26" i="5"/>
  <c r="B76" i="5"/>
  <c r="G76" i="5"/>
  <c r="E4" i="4"/>
  <c r="B25" i="5"/>
  <c r="G25" i="5"/>
  <c r="G32" i="5"/>
  <c r="G8" i="4" s="1"/>
  <c r="B32" i="5"/>
  <c r="E59" i="5"/>
  <c r="D59" i="5"/>
  <c r="H59" i="5" s="1"/>
  <c r="D67" i="5"/>
  <c r="E67" i="5"/>
  <c r="B84" i="5"/>
  <c r="G84" i="5"/>
  <c r="C13" i="4"/>
  <c r="D5" i="5"/>
  <c r="E5" i="5"/>
  <c r="B6" i="5"/>
  <c r="G7" i="5"/>
  <c r="G4" i="4" s="1"/>
  <c r="D9" i="5"/>
  <c r="E9" i="5"/>
  <c r="B10" i="5"/>
  <c r="G11" i="5"/>
  <c r="D13" i="5"/>
  <c r="E13" i="5"/>
  <c r="B14" i="5"/>
  <c r="G15" i="5"/>
  <c r="D17" i="5"/>
  <c r="E17" i="5"/>
  <c r="B18" i="5"/>
  <c r="G19" i="5"/>
  <c r="G6" i="4" s="1"/>
  <c r="D21" i="5"/>
  <c r="E21" i="5"/>
  <c r="B22" i="5"/>
  <c r="G23" i="5"/>
  <c r="G30" i="5"/>
  <c r="B30" i="5"/>
  <c r="B31" i="5"/>
  <c r="G31" i="5"/>
  <c r="G46" i="5"/>
  <c r="G10" i="4" s="1"/>
  <c r="B46" i="5"/>
  <c r="B53" i="5"/>
  <c r="G53" i="5"/>
  <c r="D75" i="5"/>
  <c r="E75" i="5"/>
  <c r="C14" i="4"/>
  <c r="D7" i="5"/>
  <c r="H7" i="5" s="1"/>
  <c r="E7" i="5"/>
  <c r="D11" i="5"/>
  <c r="E11" i="5"/>
  <c r="E5" i="4" s="1"/>
  <c r="D19" i="5"/>
  <c r="H19" i="5" s="1"/>
  <c r="E19" i="5"/>
  <c r="C6" i="4"/>
  <c r="B27" i="5"/>
  <c r="G27" i="5"/>
  <c r="E39" i="5"/>
  <c r="E9" i="4" s="1"/>
  <c r="D39" i="5"/>
  <c r="F5" i="4"/>
  <c r="G28" i="5"/>
  <c r="B28" i="5"/>
  <c r="B29" i="5"/>
  <c r="G29" i="5"/>
  <c r="G38" i="5"/>
  <c r="B38" i="5"/>
  <c r="E47" i="5"/>
  <c r="D47" i="5"/>
  <c r="C10" i="4"/>
  <c r="B61" i="5"/>
  <c r="G61" i="5"/>
  <c r="B68" i="5"/>
  <c r="G68" i="5"/>
  <c r="D83" i="5"/>
  <c r="E83" i="5"/>
  <c r="E25" i="5"/>
  <c r="E27" i="5"/>
  <c r="H27" i="5" s="1"/>
  <c r="E29" i="5"/>
  <c r="H29" i="5" s="1"/>
  <c r="E31" i="5"/>
  <c r="H31" i="5" s="1"/>
  <c r="H40" i="5"/>
  <c r="H48" i="5"/>
  <c r="E57" i="5"/>
  <c r="D57" i="5"/>
  <c r="H57" i="5" s="1"/>
  <c r="D81" i="5"/>
  <c r="C15" i="4"/>
  <c r="E89" i="5"/>
  <c r="E53" i="5"/>
  <c r="C11" i="4"/>
  <c r="D53" i="5"/>
  <c r="G57" i="5"/>
  <c r="E61" i="5"/>
  <c r="D61" i="5"/>
  <c r="G64" i="5"/>
  <c r="H69" i="5"/>
  <c r="G72" i="5"/>
  <c r="G80" i="5"/>
  <c r="H85" i="5"/>
  <c r="G88" i="5"/>
  <c r="E91" i="5"/>
  <c r="H4" i="5"/>
  <c r="H6" i="5"/>
  <c r="H8" i="5"/>
  <c r="H10" i="5"/>
  <c r="H12" i="5"/>
  <c r="H14" i="5"/>
  <c r="H16" i="5"/>
  <c r="H18" i="5"/>
  <c r="D6" i="4"/>
  <c r="H20" i="5"/>
  <c r="H22" i="5"/>
  <c r="H24" i="5"/>
  <c r="D25" i="5"/>
  <c r="H26" i="5"/>
  <c r="H28" i="5"/>
  <c r="H30" i="5"/>
  <c r="D33" i="5"/>
  <c r="H38" i="5"/>
  <c r="B40" i="5"/>
  <c r="D41" i="5"/>
  <c r="H41" i="5" s="1"/>
  <c r="H46" i="5"/>
  <c r="B48" i="5"/>
  <c r="D49" i="5"/>
  <c r="H49" i="5" s="1"/>
  <c r="E55" i="5"/>
  <c r="D55" i="5"/>
  <c r="G59" i="5"/>
  <c r="G66" i="5"/>
  <c r="G74" i="5"/>
  <c r="G82" i="5"/>
  <c r="G90" i="5"/>
  <c r="H60" i="5"/>
  <c r="H62" i="5"/>
  <c r="D92" i="5"/>
  <c r="E92" i="5"/>
  <c r="E52" i="5"/>
  <c r="H52" i="5" s="1"/>
  <c r="E54" i="5"/>
  <c r="H54" i="5" s="1"/>
  <c r="E56" i="5"/>
  <c r="H56" i="5" s="1"/>
  <c r="E58" i="5"/>
  <c r="H58" i="5" s="1"/>
  <c r="E60" i="5"/>
  <c r="E62" i="5"/>
  <c r="G63" i="5"/>
  <c r="H63" i="5" s="1"/>
  <c r="E64" i="5"/>
  <c r="H64" i="5" s="1"/>
  <c r="G65" i="5"/>
  <c r="H65" i="5" s="1"/>
  <c r="E66" i="5"/>
  <c r="H66" i="5" s="1"/>
  <c r="G67" i="5"/>
  <c r="E68" i="5"/>
  <c r="H68" i="5" s="1"/>
  <c r="G69" i="5"/>
  <c r="E70" i="5"/>
  <c r="H70" i="5" s="1"/>
  <c r="G71" i="5"/>
  <c r="H71" i="5" s="1"/>
  <c r="E72" i="5"/>
  <c r="H72" i="5" s="1"/>
  <c r="G73" i="5"/>
  <c r="H73" i="5" s="1"/>
  <c r="E74" i="5"/>
  <c r="G75" i="5"/>
  <c r="E76" i="5"/>
  <c r="H76" i="5" s="1"/>
  <c r="G77" i="5"/>
  <c r="H77" i="5" s="1"/>
  <c r="E78" i="5"/>
  <c r="H78" i="5" s="1"/>
  <c r="G79" i="5"/>
  <c r="H79" i="5" s="1"/>
  <c r="E80" i="5"/>
  <c r="H80" i="5" s="1"/>
  <c r="G81" i="5"/>
  <c r="E82" i="5"/>
  <c r="G83" i="5"/>
  <c r="E84" i="5"/>
  <c r="H84" i="5" s="1"/>
  <c r="G85" i="5"/>
  <c r="E86" i="5"/>
  <c r="H86" i="5" s="1"/>
  <c r="G87" i="5"/>
  <c r="H87" i="5" s="1"/>
  <c r="E88" i="5"/>
  <c r="G89" i="5"/>
  <c r="H89" i="5" s="1"/>
  <c r="E90" i="5"/>
  <c r="H90" i="5" s="1"/>
  <c r="G91" i="5"/>
  <c r="H91" i="5" s="1"/>
  <c r="G93" i="5"/>
  <c r="D93" i="5"/>
  <c r="E15" i="4" l="1"/>
  <c r="E10" i="4"/>
  <c r="E16" i="4"/>
  <c r="G16" i="4"/>
  <c r="E11" i="4"/>
  <c r="H67" i="5"/>
  <c r="H13" i="4" s="1"/>
  <c r="D13" i="4"/>
  <c r="H92" i="5"/>
  <c r="D16" i="4"/>
  <c r="H32" i="5"/>
  <c r="H25" i="5"/>
  <c r="H7" i="4" s="1"/>
  <c r="D7" i="4"/>
  <c r="H81" i="5"/>
  <c r="D15" i="4"/>
  <c r="H83" i="5"/>
  <c r="H15" i="5"/>
  <c r="E14" i="4"/>
  <c r="H82" i="5"/>
  <c r="H74" i="5"/>
  <c r="G14" i="4"/>
  <c r="H53" i="5"/>
  <c r="D11" i="4"/>
  <c r="E6" i="4"/>
  <c r="H75" i="5"/>
  <c r="D14" i="4"/>
  <c r="H21" i="5"/>
  <c r="H6" i="4" s="1"/>
  <c r="H17" i="5"/>
  <c r="H13" i="5"/>
  <c r="H9" i="5"/>
  <c r="H5" i="5"/>
  <c r="D4" i="4"/>
  <c r="G7" i="4"/>
  <c r="D8" i="4"/>
  <c r="H33" i="5"/>
  <c r="G12" i="4"/>
  <c r="G13" i="4"/>
  <c r="J4" i="5"/>
  <c r="H39" i="5"/>
  <c r="H9" i="4" s="1"/>
  <c r="D9" i="4"/>
  <c r="H11" i="5"/>
  <c r="D5" i="4"/>
  <c r="H93" i="5"/>
  <c r="G15" i="4"/>
  <c r="E12" i="4"/>
  <c r="H88" i="5"/>
  <c r="H55" i="5"/>
  <c r="D10" i="4"/>
  <c r="H61" i="5"/>
  <c r="H12" i="4" s="1"/>
  <c r="D12" i="4"/>
  <c r="E7" i="4"/>
  <c r="H47" i="5"/>
  <c r="H10" i="4" s="1"/>
  <c r="G11" i="4"/>
  <c r="G5" i="4"/>
  <c r="E13" i="4"/>
  <c r="H23" i="5"/>
  <c r="B6" i="6" l="1"/>
  <c r="H8" i="4"/>
  <c r="H11" i="4"/>
  <c r="H15" i="4"/>
  <c r="H5" i="4"/>
  <c r="I5" i="5"/>
  <c r="J5" i="5" s="1"/>
  <c r="H16" i="4"/>
  <c r="H4" i="4"/>
  <c r="J4" i="4" s="1"/>
  <c r="I5" i="4" s="1"/>
  <c r="H14" i="4"/>
  <c r="J5" i="4" l="1"/>
  <c r="I6" i="4" s="1"/>
  <c r="J6" i="4" s="1"/>
  <c r="I7" i="4" s="1"/>
  <c r="J7" i="4" s="1"/>
  <c r="I8" i="4" s="1"/>
  <c r="J8" i="4" s="1"/>
  <c r="I9" i="4" s="1"/>
  <c r="J9" i="4" s="1"/>
  <c r="I10" i="4" s="1"/>
  <c r="J10" i="4" s="1"/>
  <c r="I11" i="4" s="1"/>
  <c r="J11" i="4" s="1"/>
  <c r="I12" i="4" s="1"/>
  <c r="J12" i="4" s="1"/>
  <c r="I13" i="4" s="1"/>
  <c r="J13" i="4" s="1"/>
  <c r="I14" i="4" s="1"/>
  <c r="J14" i="4" s="1"/>
  <c r="I15" i="4" s="1"/>
  <c r="J15" i="4" s="1"/>
  <c r="I16" i="4" s="1"/>
  <c r="J16" i="4" s="1"/>
  <c r="B5" i="6"/>
  <c r="I6" i="5"/>
  <c r="J6" i="5" s="1"/>
  <c r="I7" i="5" l="1"/>
  <c r="J7" i="5" s="1"/>
  <c r="I8" i="5" s="1"/>
  <c r="J8" i="5" s="1"/>
  <c r="I9" i="5" s="1"/>
  <c r="J9" i="5" s="1"/>
  <c r="I10" i="5" s="1"/>
  <c r="J10" i="5" s="1"/>
  <c r="I11" i="5" s="1"/>
  <c r="J11" i="5" s="1"/>
  <c r="I12" i="5" s="1"/>
  <c r="J12" i="5" s="1"/>
  <c r="I13" i="5" s="1"/>
  <c r="J13" i="5" s="1"/>
  <c r="I14" i="5" s="1"/>
  <c r="J14" i="5" s="1"/>
  <c r="I15" i="5" s="1"/>
  <c r="J15" i="5" s="1"/>
  <c r="I16" i="5" s="1"/>
  <c r="J16" i="5" s="1"/>
  <c r="I17" i="5" s="1"/>
  <c r="J17" i="5" s="1"/>
  <c r="I18" i="5" s="1"/>
  <c r="J18" i="5" s="1"/>
  <c r="I19" i="5" s="1"/>
  <c r="J19" i="5" s="1"/>
  <c r="I20" i="5" s="1"/>
  <c r="J20" i="5" s="1"/>
  <c r="I21" i="5" s="1"/>
  <c r="J21" i="5" s="1"/>
  <c r="I22" i="5" s="1"/>
  <c r="J22" i="5" s="1"/>
  <c r="I23" i="5" s="1"/>
  <c r="J23" i="5" s="1"/>
  <c r="I24" i="5" s="1"/>
  <c r="J24" i="5" s="1"/>
  <c r="I25" i="5" s="1"/>
  <c r="J25" i="5" s="1"/>
  <c r="I26" i="5" s="1"/>
  <c r="J26" i="5" s="1"/>
  <c r="I27" i="5" s="1"/>
  <c r="J27" i="5" s="1"/>
  <c r="I28" i="5" s="1"/>
  <c r="J28" i="5" s="1"/>
  <c r="I29" i="5" s="1"/>
  <c r="J29" i="5" s="1"/>
  <c r="I30" i="5" s="1"/>
  <c r="J30" i="5" s="1"/>
  <c r="I31" i="5" s="1"/>
  <c r="J31" i="5" s="1"/>
  <c r="I32" i="5" s="1"/>
  <c r="J32" i="5" s="1"/>
  <c r="I33" i="5" s="1"/>
  <c r="J33" i="5" s="1"/>
  <c r="I34" i="5" s="1"/>
  <c r="J34" i="5" s="1"/>
  <c r="I35" i="5" s="1"/>
  <c r="J35" i="5" s="1"/>
  <c r="I36" i="5" s="1"/>
  <c r="J36" i="5" s="1"/>
  <c r="I37" i="5" s="1"/>
  <c r="J37" i="5" s="1"/>
  <c r="I38" i="5" s="1"/>
  <c r="J38" i="5" s="1"/>
  <c r="I39" i="5" s="1"/>
  <c r="J39" i="5" s="1"/>
  <c r="I40" i="5" s="1"/>
  <c r="J40" i="5" s="1"/>
  <c r="I41" i="5" s="1"/>
  <c r="J41" i="5" s="1"/>
  <c r="I42" i="5" s="1"/>
  <c r="J42" i="5" s="1"/>
  <c r="I43" i="5" s="1"/>
  <c r="J43" i="5" s="1"/>
  <c r="I44" i="5" s="1"/>
  <c r="J44" i="5" s="1"/>
  <c r="I45" i="5" s="1"/>
  <c r="J45" i="5" s="1"/>
  <c r="I46" i="5" s="1"/>
  <c r="J46" i="5" s="1"/>
  <c r="I47" i="5" s="1"/>
  <c r="J47" i="5" s="1"/>
  <c r="I48" i="5" s="1"/>
  <c r="J48" i="5" s="1"/>
  <c r="I49" i="5" s="1"/>
  <c r="J49" i="5" s="1"/>
  <c r="I50" i="5" s="1"/>
  <c r="J50" i="5" s="1"/>
  <c r="I51" i="5" s="1"/>
  <c r="J51" i="5" s="1"/>
  <c r="I52" i="5" s="1"/>
  <c r="J52" i="5" s="1"/>
  <c r="I53" i="5" s="1"/>
  <c r="J53" i="5" s="1"/>
  <c r="I54" i="5" s="1"/>
  <c r="J54" i="5" s="1"/>
  <c r="I55" i="5" s="1"/>
  <c r="J55" i="5" s="1"/>
  <c r="I56" i="5" s="1"/>
  <c r="J56" i="5" s="1"/>
  <c r="I57" i="5" s="1"/>
  <c r="J57" i="5" s="1"/>
  <c r="I58" i="5" s="1"/>
  <c r="J58" i="5" s="1"/>
  <c r="I59" i="5" s="1"/>
  <c r="J59" i="5" s="1"/>
  <c r="I60" i="5" s="1"/>
  <c r="J60" i="5" s="1"/>
  <c r="I61" i="5" s="1"/>
  <c r="J61" i="5" s="1"/>
  <c r="I62" i="5" s="1"/>
  <c r="J62" i="5" s="1"/>
  <c r="I63" i="5" s="1"/>
  <c r="J63" i="5" s="1"/>
  <c r="I64" i="5" s="1"/>
  <c r="J64" i="5" s="1"/>
  <c r="I65" i="5" s="1"/>
  <c r="J65" i="5" s="1"/>
  <c r="I66" i="5" s="1"/>
  <c r="J66" i="5" s="1"/>
  <c r="I67" i="5" s="1"/>
  <c r="J67" i="5" s="1"/>
  <c r="I68" i="5" s="1"/>
  <c r="J68" i="5" s="1"/>
  <c r="I69" i="5" s="1"/>
  <c r="J69" i="5" s="1"/>
  <c r="I70" i="5" s="1"/>
  <c r="J70" i="5" s="1"/>
  <c r="I71" i="5" s="1"/>
  <c r="J71" i="5" s="1"/>
  <c r="I72" i="5" s="1"/>
  <c r="J72" i="5" s="1"/>
  <c r="I73" i="5" s="1"/>
  <c r="J73" i="5" s="1"/>
  <c r="I74" i="5" s="1"/>
  <c r="J74" i="5" s="1"/>
  <c r="I75" i="5" s="1"/>
  <c r="J75" i="5" s="1"/>
  <c r="I76" i="5" s="1"/>
  <c r="J76" i="5" s="1"/>
  <c r="I77" i="5" s="1"/>
  <c r="J77" i="5" s="1"/>
  <c r="I78" i="5" s="1"/>
  <c r="J78" i="5" s="1"/>
  <c r="I79" i="5" s="1"/>
  <c r="J79" i="5" s="1"/>
  <c r="I80" i="5" s="1"/>
  <c r="J80" i="5" s="1"/>
  <c r="I81" i="5" s="1"/>
  <c r="J81" i="5" s="1"/>
  <c r="I82" i="5" s="1"/>
  <c r="J82" i="5" s="1"/>
  <c r="I83" i="5" s="1"/>
  <c r="J83" i="5" s="1"/>
  <c r="I84" i="5" s="1"/>
  <c r="J84" i="5" s="1"/>
  <c r="I85" i="5" s="1"/>
  <c r="J85" i="5" s="1"/>
  <c r="I86" i="5" s="1"/>
  <c r="J86" i="5" s="1"/>
  <c r="I87" i="5" s="1"/>
  <c r="J87" i="5" s="1"/>
  <c r="I88" i="5" s="1"/>
  <c r="J88" i="5" s="1"/>
  <c r="I89" i="5" s="1"/>
  <c r="J89" i="5" s="1"/>
  <c r="I90" i="5" s="1"/>
  <c r="J90" i="5" s="1"/>
  <c r="I91" i="5" s="1"/>
  <c r="J91" i="5" s="1"/>
  <c r="I92" i="5" s="1"/>
  <c r="J92" i="5" s="1"/>
  <c r="I93" i="5" s="1"/>
  <c r="J93" i="5" s="1"/>
  <c r="B4" i="6" s="1"/>
  <c r="B3" i="6" l="1"/>
</calcChain>
</file>

<file path=xl/sharedStrings.xml><?xml version="1.0" encoding="utf-8"?>
<sst xmlns="http://schemas.openxmlformats.org/spreadsheetml/2006/main" count="95" uniqueCount="73">
  <si>
    <t>Cash Flow Planner (Basic)</t>
  </si>
  <si>
    <t>Purpose</t>
  </si>
  <si>
    <t>Plan your cash position over the next 90 days using simple averages.</t>
  </si>
  <si>
    <t>This helps you spot cash gaps early and test simple scenarios.</t>
  </si>
  <si>
    <t>How to use (simple)</t>
  </si>
  <si>
    <t>1) Fill in the yellow cells in SETUP.</t>
  </si>
  <si>
    <t>2) (Optional) Add any one-off payments or one-off income in ONE_OFF_EVENTS.</t>
  </si>
  <si>
    <t>3) Review WEEKLY_PLANNER for an overview and DAILY_PLANNER for detail.</t>
  </si>
  <si>
    <t>4) Use the scenario % changes in SETUP to test 'what if' situations.</t>
  </si>
  <si>
    <t>Notes</t>
  </si>
  <si>
    <t>• Enter figures ex VAT.</t>
  </si>
  <si>
    <t>• This is a planning tool. If your inputs change, update SETUP and it will refresh.</t>
  </si>
  <si>
    <t>SETUP (fill yellow cells)</t>
  </si>
  <si>
    <t>Opening cash (bank + till)</t>
  </si>
  <si>
    <t>Tip</t>
  </si>
  <si>
    <t>Your starting cash today.</t>
  </si>
  <si>
    <t>Forecast start date</t>
  </si>
  <si>
    <t>2026-01-22</t>
  </si>
  <si>
    <t>Leave as today, or change to the day you want to start.</t>
  </si>
  <si>
    <t>Average daily sales (ex VAT)</t>
  </si>
  <si>
    <t>Last 7 days total ÷ 7 (or last 30 days ÷ 30).</t>
  </si>
  <si>
    <t>Average gross margin %</t>
  </si>
  <si>
    <t>If unsure, start with 40%.</t>
  </si>
  <si>
    <t>Card fees % (average)</t>
  </si>
  <si>
    <t>If unsure, use 1.5–2.0%.</t>
  </si>
  <si>
    <t>Monthly rent</t>
  </si>
  <si>
    <t>Rent only.</t>
  </si>
  <si>
    <t>Monthly wages</t>
  </si>
  <si>
    <t>Total wages incl. NI.</t>
  </si>
  <si>
    <t>Other monthly fixed costs</t>
  </si>
  <si>
    <t>Utilities, insurance, software, etc.</t>
  </si>
  <si>
    <t>Days open per week</t>
  </si>
  <si>
    <t>Most businesses are 5–7.</t>
  </si>
  <si>
    <t>Assumptions</t>
  </si>
  <si>
    <t>Weeks per month</t>
  </si>
  <si>
    <t>Used to convert monthly costs to weekly.</t>
  </si>
  <si>
    <t>Days per month</t>
  </si>
  <si>
    <t>Used to convert monthly costs to daily.</t>
  </si>
  <si>
    <t>SCENARIOS (optional)</t>
  </si>
  <si>
    <t>Sales change %</t>
  </si>
  <si>
    <t>Example: -10% for a sales drop.</t>
  </si>
  <si>
    <t>Margin change (percentage points)</t>
  </si>
  <si>
    <t>Example: -5% means 45% becomes 40%.</t>
  </si>
  <si>
    <t>Rent change %</t>
  </si>
  <si>
    <t>Wages change %</t>
  </si>
  <si>
    <t>Other costs change %</t>
  </si>
  <si>
    <t>Card fees change (percentage points)</t>
  </si>
  <si>
    <t>Example: +0.2% means 1.8% becomes 2.0%.</t>
  </si>
  <si>
    <t>ONE-OFF EVENTS (optional)</t>
  </si>
  <si>
    <t>Add one-off income or one-off payments here. Amounts: positive = money in, negative = money out.</t>
  </si>
  <si>
    <t>Date</t>
  </si>
  <si>
    <t>Description</t>
  </si>
  <si>
    <t>Amount (ex VAT)</t>
  </si>
  <si>
    <t>Week #</t>
  </si>
  <si>
    <t>Week Start</t>
  </si>
  <si>
    <t>Sales (week)</t>
  </si>
  <si>
    <t>Gross Profit</t>
  </si>
  <si>
    <t>Card Fees</t>
  </si>
  <si>
    <t>Fixed Costs (week)</t>
  </si>
  <si>
    <t>One-off events</t>
  </si>
  <si>
    <t>Net Cash Change</t>
  </si>
  <si>
    <t>Opening Cash</t>
  </si>
  <si>
    <t>Closing Cash</t>
  </si>
  <si>
    <t>Day</t>
  </si>
  <si>
    <t>Sales (ex VAT)</t>
  </si>
  <si>
    <t>Fixed Costs (daily)</t>
  </si>
  <si>
    <t>SUMMARY</t>
  </si>
  <si>
    <t>Lowest cash in next 90 days</t>
  </si>
  <si>
    <t>Ending cash (day 90)</t>
  </si>
  <si>
    <t>First day cash goes below £0 (if any)</t>
  </si>
  <si>
    <t>Average daily net cash change</t>
  </si>
  <si>
    <t>Advisory</t>
  </si>
  <si>
    <t>If a shortfall is forecast, action is recommended (pricing, margin, costs, or sales volume). Use ONE_OFF_EVENTS to plan known payments and income.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</si>
</sst>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\£#,##0.00"/>
    <numFmt numFmtId="166" formatCode="yyyy\-mm\-dd"/>
    <numFmt numFmtId="167" formatCode="dd\-mmm\-yyyy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i/>
      <sz val="1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165" fontId="0" fillId="2" borderId="0" xfId="0" applyNumberFormat="1" applyFill="1" applyProtection="1">
      <protection locked="0"/>
    </xf>
    <xf numFmtId="0" fontId="4" fillId="0" borderId="0" xfId="0" applyFont="1" applyAlignment="1">
      <alignment vertical="top" wrapText="1"/>
    </xf>
    <xf numFmtId="49" fontId="0" fillId="2" borderId="0" xfId="0" applyNumberFormat="1" applyFill="1" applyProtection="1">
      <protection locked="0"/>
    </xf>
    <xf numFmtId="10" fontId="0" fillId="2" borderId="0" xfId="0" applyNumberFormat="1" applyFill="1" applyProtection="1">
      <protection locked="0"/>
    </xf>
    <xf numFmtId="1" fontId="0" fillId="2" borderId="0" xfId="0" applyNumberFormat="1" applyFill="1" applyProtection="1">
      <protection locked="0"/>
    </xf>
    <xf numFmtId="0" fontId="2" fillId="0" borderId="0" xfId="0" applyFont="1"/>
    <xf numFmtId="164" fontId="0" fillId="2" borderId="0" xfId="0" applyNumberFormat="1" applyFill="1" applyProtection="1">
      <protection locked="0"/>
    </xf>
    <xf numFmtId="0" fontId="5" fillId="3" borderId="0" xfId="0" applyFont="1" applyFill="1" applyAlignment="1">
      <alignment horizontal="center" vertical="center"/>
    </xf>
    <xf numFmtId="166" fontId="0" fillId="2" borderId="0" xfId="0" applyNumberFormat="1" applyFill="1" applyProtection="1">
      <protection locked="0"/>
    </xf>
    <xf numFmtId="0" fontId="0" fillId="2" borderId="0" xfId="0" applyFill="1" applyProtection="1">
      <protection locked="0"/>
    </xf>
    <xf numFmtId="0" fontId="5" fillId="3" borderId="0" xfId="0" applyFont="1" applyFill="1" applyAlignment="1">
      <alignment horizontal="center" vertical="center" wrapText="1"/>
    </xf>
    <xf numFmtId="167" fontId="0" fillId="0" borderId="0" xfId="0" applyNumberFormat="1"/>
    <xf numFmtId="165" fontId="0" fillId="0" borderId="0" xfId="0" applyNumberFormat="1"/>
    <xf numFmtId="165" fontId="5" fillId="0" borderId="0" xfId="0" applyNumberFormat="1" applyFont="1"/>
    <xf numFmtId="49" fontId="5" fillId="0" borderId="0" xfId="0" applyNumberFormat="1" applyFont="1"/>
    <xf numFmtId="0" fontId="5" fillId="0" borderId="0" xfId="0" applyFont="1"/>
    <xf numFmtId="0" fontId="0" fillId="0" borderId="0" xfId="0" applyAlignment="1">
      <alignment wrapText="1"/>
    </xf>
    <xf numFmtId="0" fontId="0" fillId="0" borderId="0" xfId="0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topLeftCell="A4" workbookViewId="0"/>
  </sheetViews>
  <sheetFormatPr defaultRowHeight="14.4" x14ac:dyDescent="0.3"/>
  <cols>
    <col min="1" max="1" width="95" customWidth="1"/>
  </cols>
  <sheetData>
    <row r="1" spans="1:1" ht="18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/>
    </row>
    <row r="7" spans="1:1" x14ac:dyDescent="0.3">
      <c r="A7" s="3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/>
    </row>
    <row r="13" spans="1:1" x14ac:dyDescent="0.3">
      <c r="A13" s="3" t="s">
        <v>9</v>
      </c>
    </row>
    <row r="14" spans="1:1" x14ac:dyDescent="0.3">
      <c r="A14" s="2" t="s">
        <v>10</v>
      </c>
    </row>
    <row r="15" spans="1:1" x14ac:dyDescent="0.3">
      <c r="A15" s="2" t="s">
        <v>11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selection activeCell="B8" sqref="B8"/>
    </sheetView>
  </sheetViews>
  <sheetFormatPr defaultRowHeight="14.4" x14ac:dyDescent="0.3"/>
  <cols>
    <col min="1" max="1" width="36" customWidth="1"/>
    <col min="2" max="2" width="18" customWidth="1"/>
    <col min="3" max="3" width="8" customWidth="1"/>
    <col min="4" max="4" width="64" customWidth="1"/>
  </cols>
  <sheetData>
    <row r="1" spans="1:4" ht="15.6" x14ac:dyDescent="0.3">
      <c r="A1" s="4" t="s">
        <v>12</v>
      </c>
    </row>
    <row r="3" spans="1:4" x14ac:dyDescent="0.3">
      <c r="A3" t="s">
        <v>13</v>
      </c>
      <c r="B3" s="5">
        <v>10000</v>
      </c>
      <c r="C3" t="s">
        <v>14</v>
      </c>
      <c r="D3" s="6" t="s">
        <v>15</v>
      </c>
    </row>
    <row r="4" spans="1:4" x14ac:dyDescent="0.3">
      <c r="A4" t="s">
        <v>16</v>
      </c>
      <c r="B4" s="7" t="s">
        <v>17</v>
      </c>
      <c r="C4" t="s">
        <v>14</v>
      </c>
      <c r="D4" s="6" t="s">
        <v>18</v>
      </c>
    </row>
    <row r="5" spans="1:4" x14ac:dyDescent="0.3">
      <c r="A5" t="s">
        <v>19</v>
      </c>
      <c r="B5" s="5">
        <v>1500</v>
      </c>
      <c r="C5" t="s">
        <v>14</v>
      </c>
      <c r="D5" s="6" t="s">
        <v>20</v>
      </c>
    </row>
    <row r="6" spans="1:4" x14ac:dyDescent="0.3">
      <c r="A6" t="s">
        <v>21</v>
      </c>
      <c r="B6" s="8">
        <v>0.23</v>
      </c>
      <c r="C6" t="s">
        <v>14</v>
      </c>
      <c r="D6" s="6" t="s">
        <v>22</v>
      </c>
    </row>
    <row r="7" spans="1:4" x14ac:dyDescent="0.3">
      <c r="A7" t="s">
        <v>23</v>
      </c>
      <c r="B7" s="8">
        <v>0.35</v>
      </c>
      <c r="C7" t="s">
        <v>14</v>
      </c>
      <c r="D7" s="6" t="s">
        <v>24</v>
      </c>
    </row>
    <row r="8" spans="1:4" x14ac:dyDescent="0.3">
      <c r="A8" t="s">
        <v>25</v>
      </c>
      <c r="B8" s="5">
        <v>4000</v>
      </c>
      <c r="C8" t="s">
        <v>14</v>
      </c>
      <c r="D8" s="6" t="s">
        <v>26</v>
      </c>
    </row>
    <row r="9" spans="1:4" x14ac:dyDescent="0.3">
      <c r="A9" t="s">
        <v>27</v>
      </c>
      <c r="B9" s="5">
        <v>6000</v>
      </c>
      <c r="C9" t="s">
        <v>14</v>
      </c>
      <c r="D9" s="6" t="s">
        <v>28</v>
      </c>
    </row>
    <row r="10" spans="1:4" x14ac:dyDescent="0.3">
      <c r="A10" t="s">
        <v>29</v>
      </c>
      <c r="B10" s="5">
        <v>1500</v>
      </c>
      <c r="C10" t="s">
        <v>14</v>
      </c>
      <c r="D10" s="6" t="s">
        <v>30</v>
      </c>
    </row>
    <row r="11" spans="1:4" x14ac:dyDescent="0.3">
      <c r="A11" t="s">
        <v>31</v>
      </c>
      <c r="B11" s="9">
        <v>7</v>
      </c>
      <c r="C11" t="s">
        <v>14</v>
      </c>
      <c r="D11" s="6" t="s">
        <v>32</v>
      </c>
    </row>
    <row r="12" spans="1:4" x14ac:dyDescent="0.3">
      <c r="A12" s="10" t="s">
        <v>33</v>
      </c>
    </row>
    <row r="13" spans="1:4" x14ac:dyDescent="0.3">
      <c r="A13" t="s">
        <v>34</v>
      </c>
      <c r="B13" s="11">
        <v>4.3452000000000002</v>
      </c>
      <c r="D13" s="6" t="s">
        <v>35</v>
      </c>
    </row>
    <row r="14" spans="1:4" x14ac:dyDescent="0.3">
      <c r="A14" t="s">
        <v>36</v>
      </c>
      <c r="B14" s="11">
        <v>30.4375</v>
      </c>
      <c r="D14" s="6" t="s">
        <v>37</v>
      </c>
    </row>
    <row r="16" spans="1:4" x14ac:dyDescent="0.3">
      <c r="A16" s="10" t="s">
        <v>38</v>
      </c>
    </row>
    <row r="17" spans="1:4" x14ac:dyDescent="0.3">
      <c r="A17" t="s">
        <v>39</v>
      </c>
      <c r="B17" s="8">
        <v>0</v>
      </c>
      <c r="C17" t="s">
        <v>14</v>
      </c>
      <c r="D17" s="6" t="s">
        <v>40</v>
      </c>
    </row>
    <row r="18" spans="1:4" x14ac:dyDescent="0.3">
      <c r="A18" t="s">
        <v>41</v>
      </c>
      <c r="B18" s="8">
        <v>0</v>
      </c>
      <c r="C18" t="s">
        <v>14</v>
      </c>
      <c r="D18" s="6" t="s">
        <v>42</v>
      </c>
    </row>
    <row r="19" spans="1:4" x14ac:dyDescent="0.3">
      <c r="A19" t="s">
        <v>43</v>
      </c>
      <c r="B19" s="8">
        <v>0</v>
      </c>
      <c r="C19" t="s">
        <v>14</v>
      </c>
      <c r="D19" s="6"/>
    </row>
    <row r="20" spans="1:4" x14ac:dyDescent="0.3">
      <c r="A20" t="s">
        <v>44</v>
      </c>
      <c r="B20" s="8">
        <v>0</v>
      </c>
      <c r="C20" t="s">
        <v>14</v>
      </c>
      <c r="D20" s="6"/>
    </row>
    <row r="21" spans="1:4" x14ac:dyDescent="0.3">
      <c r="A21" t="s">
        <v>45</v>
      </c>
      <c r="B21" s="8">
        <v>0</v>
      </c>
      <c r="C21" t="s">
        <v>14</v>
      </c>
      <c r="D21" s="6"/>
    </row>
    <row r="22" spans="1:4" x14ac:dyDescent="0.3">
      <c r="A22" t="s">
        <v>46</v>
      </c>
      <c r="B22" s="8">
        <v>0</v>
      </c>
      <c r="C22" t="s">
        <v>14</v>
      </c>
      <c r="D22" s="6" t="s">
        <v>47</v>
      </c>
    </row>
  </sheetData>
  <sheetProtection sheet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2" customWidth="1"/>
    <col min="2" max="2" width="30" customWidth="1"/>
    <col min="3" max="4" width="22" customWidth="1"/>
  </cols>
  <sheetData>
    <row r="1" spans="1:4" ht="15.6" x14ac:dyDescent="0.3">
      <c r="A1" s="4" t="s">
        <v>48</v>
      </c>
    </row>
    <row r="2" spans="1:4" x14ac:dyDescent="0.3">
      <c r="A2" s="21" t="s">
        <v>49</v>
      </c>
      <c r="B2" s="22"/>
      <c r="C2" s="22"/>
      <c r="D2" s="22"/>
    </row>
    <row r="4" spans="1:4" x14ac:dyDescent="0.3">
      <c r="A4" s="12" t="s">
        <v>50</v>
      </c>
      <c r="B4" s="12" t="s">
        <v>51</v>
      </c>
      <c r="C4" s="12" t="s">
        <v>52</v>
      </c>
      <c r="D4" s="12" t="s">
        <v>9</v>
      </c>
    </row>
    <row r="5" spans="1:4" x14ac:dyDescent="0.3">
      <c r="A5" s="13"/>
      <c r="B5" s="14"/>
      <c r="C5" s="5"/>
      <c r="D5" s="14"/>
    </row>
    <row r="6" spans="1:4" x14ac:dyDescent="0.3">
      <c r="A6" s="13"/>
      <c r="B6" s="14"/>
      <c r="C6" s="5"/>
      <c r="D6" s="14"/>
    </row>
    <row r="7" spans="1:4" x14ac:dyDescent="0.3">
      <c r="A7" s="13"/>
      <c r="B7" s="14"/>
      <c r="C7" s="5"/>
      <c r="D7" s="14"/>
    </row>
    <row r="8" spans="1:4" x14ac:dyDescent="0.3">
      <c r="A8" s="13"/>
      <c r="B8" s="14"/>
      <c r="C8" s="5"/>
      <c r="D8" s="14"/>
    </row>
    <row r="9" spans="1:4" x14ac:dyDescent="0.3">
      <c r="A9" s="13"/>
      <c r="B9" s="14"/>
      <c r="C9" s="5"/>
      <c r="D9" s="14"/>
    </row>
    <row r="10" spans="1:4" x14ac:dyDescent="0.3">
      <c r="A10" s="13"/>
      <c r="B10" s="14"/>
      <c r="C10" s="5"/>
      <c r="D10" s="14"/>
    </row>
    <row r="11" spans="1:4" x14ac:dyDescent="0.3">
      <c r="A11" s="13"/>
      <c r="B11" s="14"/>
      <c r="C11" s="5"/>
      <c r="D11" s="14"/>
    </row>
    <row r="12" spans="1:4" x14ac:dyDescent="0.3">
      <c r="A12" s="13"/>
      <c r="B12" s="14"/>
      <c r="C12" s="5"/>
      <c r="D12" s="14"/>
    </row>
    <row r="13" spans="1:4" x14ac:dyDescent="0.3">
      <c r="A13" s="13"/>
      <c r="B13" s="14"/>
      <c r="C13" s="5"/>
      <c r="D13" s="14"/>
    </row>
    <row r="14" spans="1:4" x14ac:dyDescent="0.3">
      <c r="A14" s="13"/>
      <c r="B14" s="14"/>
      <c r="C14" s="5"/>
      <c r="D14" s="14"/>
    </row>
    <row r="15" spans="1:4" x14ac:dyDescent="0.3">
      <c r="A15" s="13"/>
      <c r="B15" s="14"/>
      <c r="C15" s="5"/>
      <c r="D15" s="14"/>
    </row>
    <row r="16" spans="1:4" x14ac:dyDescent="0.3">
      <c r="A16" s="13"/>
      <c r="B16" s="14"/>
      <c r="C16" s="5"/>
      <c r="D16" s="14"/>
    </row>
    <row r="17" spans="1:4" x14ac:dyDescent="0.3">
      <c r="A17" s="13"/>
      <c r="B17" s="14"/>
      <c r="C17" s="5"/>
      <c r="D17" s="14"/>
    </row>
    <row r="18" spans="1:4" x14ac:dyDescent="0.3">
      <c r="A18" s="13"/>
      <c r="B18" s="14"/>
      <c r="C18" s="5"/>
      <c r="D18" s="14"/>
    </row>
    <row r="19" spans="1:4" x14ac:dyDescent="0.3">
      <c r="A19" s="13"/>
      <c r="B19" s="14"/>
      <c r="C19" s="5"/>
      <c r="D19" s="14"/>
    </row>
    <row r="20" spans="1:4" x14ac:dyDescent="0.3">
      <c r="A20" s="13"/>
      <c r="B20" s="14"/>
      <c r="C20" s="5"/>
      <c r="D20" s="14"/>
    </row>
    <row r="21" spans="1:4" x14ac:dyDescent="0.3">
      <c r="A21" s="13"/>
      <c r="B21" s="14"/>
      <c r="C21" s="5"/>
      <c r="D21" s="14"/>
    </row>
    <row r="22" spans="1:4" x14ac:dyDescent="0.3">
      <c r="A22" s="13"/>
      <c r="B22" s="14"/>
      <c r="C22" s="5"/>
      <c r="D22" s="14"/>
    </row>
    <row r="23" spans="1:4" x14ac:dyDescent="0.3">
      <c r="A23" s="13"/>
      <c r="B23" s="14"/>
      <c r="C23" s="5"/>
      <c r="D23" s="14"/>
    </row>
    <row r="24" spans="1:4" x14ac:dyDescent="0.3">
      <c r="A24" s="13"/>
      <c r="B24" s="14"/>
      <c r="C24" s="5"/>
      <c r="D24" s="14"/>
    </row>
    <row r="25" spans="1:4" x14ac:dyDescent="0.3">
      <c r="A25" s="13"/>
      <c r="B25" s="14"/>
      <c r="C25" s="5"/>
      <c r="D25" s="14"/>
    </row>
    <row r="26" spans="1:4" x14ac:dyDescent="0.3">
      <c r="A26" s="13"/>
      <c r="B26" s="14"/>
      <c r="C26" s="5"/>
      <c r="D26" s="14"/>
    </row>
    <row r="27" spans="1:4" x14ac:dyDescent="0.3">
      <c r="A27" s="13"/>
      <c r="B27" s="14"/>
      <c r="C27" s="5"/>
      <c r="D27" s="14"/>
    </row>
    <row r="28" spans="1:4" x14ac:dyDescent="0.3">
      <c r="A28" s="13"/>
      <c r="B28" s="14"/>
      <c r="C28" s="5"/>
      <c r="D28" s="14"/>
    </row>
    <row r="29" spans="1:4" x14ac:dyDescent="0.3">
      <c r="A29" s="13"/>
      <c r="B29" s="14"/>
      <c r="C29" s="5"/>
      <c r="D29" s="14"/>
    </row>
    <row r="30" spans="1:4" x14ac:dyDescent="0.3">
      <c r="A30" s="13"/>
      <c r="B30" s="14"/>
      <c r="C30" s="5"/>
      <c r="D30" s="14"/>
    </row>
    <row r="31" spans="1:4" x14ac:dyDescent="0.3">
      <c r="A31" s="13"/>
      <c r="B31" s="14"/>
      <c r="C31" s="5"/>
      <c r="D31" s="14"/>
    </row>
    <row r="32" spans="1:4" x14ac:dyDescent="0.3">
      <c r="A32" s="13"/>
      <c r="B32" s="14"/>
      <c r="C32" s="5"/>
      <c r="D32" s="14"/>
    </row>
    <row r="33" spans="1:4" x14ac:dyDescent="0.3">
      <c r="A33" s="13"/>
      <c r="B33" s="14"/>
      <c r="C33" s="5"/>
      <c r="D33" s="14"/>
    </row>
    <row r="34" spans="1:4" x14ac:dyDescent="0.3">
      <c r="A34" s="13"/>
      <c r="B34" s="14"/>
      <c r="C34" s="5"/>
      <c r="D34" s="14"/>
    </row>
    <row r="35" spans="1:4" x14ac:dyDescent="0.3">
      <c r="A35" s="13"/>
      <c r="B35" s="14"/>
      <c r="C35" s="5"/>
      <c r="D35" s="14"/>
    </row>
    <row r="36" spans="1:4" x14ac:dyDescent="0.3">
      <c r="A36" s="13"/>
      <c r="B36" s="14"/>
      <c r="C36" s="5"/>
      <c r="D36" s="14"/>
    </row>
    <row r="37" spans="1:4" x14ac:dyDescent="0.3">
      <c r="A37" s="13"/>
      <c r="B37" s="14"/>
      <c r="C37" s="5"/>
      <c r="D37" s="14"/>
    </row>
    <row r="38" spans="1:4" x14ac:dyDescent="0.3">
      <c r="A38" s="13"/>
      <c r="B38" s="14"/>
      <c r="C38" s="5"/>
      <c r="D38" s="14"/>
    </row>
    <row r="39" spans="1:4" x14ac:dyDescent="0.3">
      <c r="A39" s="13"/>
      <c r="B39" s="14"/>
      <c r="C39" s="5"/>
      <c r="D39" s="14"/>
    </row>
    <row r="40" spans="1:4" x14ac:dyDescent="0.3">
      <c r="A40" s="13"/>
      <c r="B40" s="14"/>
      <c r="C40" s="5"/>
      <c r="D40" s="14"/>
    </row>
    <row r="41" spans="1:4" x14ac:dyDescent="0.3">
      <c r="A41" s="13"/>
      <c r="B41" s="14"/>
      <c r="C41" s="5"/>
      <c r="D41" s="14"/>
    </row>
    <row r="42" spans="1:4" x14ac:dyDescent="0.3">
      <c r="A42" s="13"/>
      <c r="B42" s="14"/>
      <c r="C42" s="5"/>
      <c r="D42" s="14"/>
    </row>
    <row r="43" spans="1:4" x14ac:dyDescent="0.3">
      <c r="A43" s="13"/>
      <c r="B43" s="14"/>
      <c r="C43" s="5"/>
      <c r="D43" s="14"/>
    </row>
    <row r="44" spans="1:4" x14ac:dyDescent="0.3">
      <c r="A44" s="13"/>
      <c r="B44" s="14"/>
      <c r="C44" s="5"/>
      <c r="D44" s="14"/>
    </row>
    <row r="45" spans="1:4" x14ac:dyDescent="0.3">
      <c r="A45" s="13"/>
      <c r="B45" s="14"/>
      <c r="C45" s="5"/>
      <c r="D45" s="14"/>
    </row>
    <row r="46" spans="1:4" x14ac:dyDescent="0.3">
      <c r="A46" s="13"/>
      <c r="B46" s="14"/>
      <c r="C46" s="5"/>
      <c r="D46" s="14"/>
    </row>
    <row r="47" spans="1:4" x14ac:dyDescent="0.3">
      <c r="A47" s="13"/>
      <c r="B47" s="14"/>
      <c r="C47" s="5"/>
      <c r="D47" s="14"/>
    </row>
    <row r="48" spans="1:4" x14ac:dyDescent="0.3">
      <c r="A48" s="13"/>
      <c r="B48" s="14"/>
      <c r="C48" s="5"/>
      <c r="D48" s="14"/>
    </row>
    <row r="49" spans="1:4" x14ac:dyDescent="0.3">
      <c r="A49" s="13"/>
      <c r="B49" s="14"/>
      <c r="C49" s="5"/>
      <c r="D49" s="14"/>
    </row>
    <row r="50" spans="1:4" x14ac:dyDescent="0.3">
      <c r="A50" s="13"/>
      <c r="B50" s="14"/>
      <c r="C50" s="5"/>
      <c r="D50" s="14"/>
    </row>
    <row r="51" spans="1:4" x14ac:dyDescent="0.3">
      <c r="A51" s="13"/>
      <c r="B51" s="14"/>
      <c r="C51" s="5"/>
      <c r="D51" s="14"/>
    </row>
    <row r="52" spans="1:4" x14ac:dyDescent="0.3">
      <c r="A52" s="13"/>
      <c r="B52" s="14"/>
      <c r="C52" s="5"/>
      <c r="D52" s="14"/>
    </row>
    <row r="53" spans="1:4" x14ac:dyDescent="0.3">
      <c r="A53" s="13"/>
      <c r="B53" s="14"/>
      <c r="C53" s="5"/>
      <c r="D53" s="14"/>
    </row>
    <row r="54" spans="1:4" x14ac:dyDescent="0.3">
      <c r="A54" s="13"/>
      <c r="B54" s="14"/>
      <c r="C54" s="5"/>
      <c r="D54" s="14"/>
    </row>
    <row r="55" spans="1:4" x14ac:dyDescent="0.3">
      <c r="A55" s="13"/>
      <c r="B55" s="14"/>
      <c r="C55" s="5"/>
      <c r="D55" s="14"/>
    </row>
    <row r="56" spans="1:4" x14ac:dyDescent="0.3">
      <c r="A56" s="13"/>
      <c r="B56" s="14"/>
      <c r="C56" s="5"/>
      <c r="D56" s="14"/>
    </row>
    <row r="57" spans="1:4" x14ac:dyDescent="0.3">
      <c r="A57" s="13"/>
      <c r="B57" s="14"/>
      <c r="C57" s="5"/>
      <c r="D57" s="14"/>
    </row>
    <row r="58" spans="1:4" x14ac:dyDescent="0.3">
      <c r="A58" s="13"/>
      <c r="B58" s="14"/>
      <c r="C58" s="5"/>
      <c r="D58" s="14"/>
    </row>
    <row r="59" spans="1:4" x14ac:dyDescent="0.3">
      <c r="A59" s="13"/>
      <c r="B59" s="14"/>
      <c r="C59" s="5"/>
      <c r="D59" s="14"/>
    </row>
    <row r="60" spans="1:4" x14ac:dyDescent="0.3">
      <c r="A60" s="13"/>
      <c r="B60" s="14"/>
      <c r="C60" s="5"/>
      <c r="D60" s="14"/>
    </row>
    <row r="61" spans="1:4" x14ac:dyDescent="0.3">
      <c r="A61" s="13"/>
      <c r="B61" s="14"/>
      <c r="C61" s="5"/>
      <c r="D61" s="14"/>
    </row>
    <row r="62" spans="1:4" x14ac:dyDescent="0.3">
      <c r="A62" s="13"/>
      <c r="B62" s="14"/>
      <c r="C62" s="5"/>
      <c r="D62" s="14"/>
    </row>
    <row r="63" spans="1:4" x14ac:dyDescent="0.3">
      <c r="A63" s="13"/>
      <c r="B63" s="14"/>
      <c r="C63" s="5"/>
      <c r="D63" s="14"/>
    </row>
    <row r="64" spans="1:4" x14ac:dyDescent="0.3">
      <c r="A64" s="13"/>
      <c r="B64" s="14"/>
      <c r="C64" s="5"/>
      <c r="D64" s="14"/>
    </row>
    <row r="65" spans="1:4" x14ac:dyDescent="0.3">
      <c r="A65" s="13"/>
      <c r="B65" s="14"/>
      <c r="C65" s="5"/>
      <c r="D65" s="14"/>
    </row>
    <row r="66" spans="1:4" x14ac:dyDescent="0.3">
      <c r="A66" s="13"/>
      <c r="B66" s="14"/>
      <c r="C66" s="5"/>
      <c r="D66" s="14"/>
    </row>
    <row r="67" spans="1:4" x14ac:dyDescent="0.3">
      <c r="A67" s="13"/>
      <c r="B67" s="14"/>
      <c r="C67" s="5"/>
      <c r="D67" s="14"/>
    </row>
    <row r="68" spans="1:4" x14ac:dyDescent="0.3">
      <c r="A68" s="13"/>
      <c r="B68" s="14"/>
      <c r="C68" s="5"/>
      <c r="D68" s="14"/>
    </row>
    <row r="69" spans="1:4" x14ac:dyDescent="0.3">
      <c r="A69" s="13"/>
      <c r="B69" s="14"/>
      <c r="C69" s="5"/>
      <c r="D69" s="14"/>
    </row>
    <row r="70" spans="1:4" x14ac:dyDescent="0.3">
      <c r="A70" s="13"/>
      <c r="B70" s="14"/>
      <c r="C70" s="5"/>
      <c r="D70" s="14"/>
    </row>
    <row r="71" spans="1:4" x14ac:dyDescent="0.3">
      <c r="A71" s="13"/>
      <c r="B71" s="14"/>
      <c r="C71" s="5"/>
      <c r="D71" s="14"/>
    </row>
    <row r="72" spans="1:4" x14ac:dyDescent="0.3">
      <c r="A72" s="13"/>
      <c r="B72" s="14"/>
      <c r="C72" s="5"/>
      <c r="D72" s="14"/>
    </row>
    <row r="73" spans="1:4" x14ac:dyDescent="0.3">
      <c r="A73" s="13"/>
      <c r="B73" s="14"/>
      <c r="C73" s="5"/>
      <c r="D73" s="14"/>
    </row>
    <row r="74" spans="1:4" x14ac:dyDescent="0.3">
      <c r="A74" s="13"/>
      <c r="B74" s="14"/>
      <c r="C74" s="5"/>
      <c r="D74" s="14"/>
    </row>
    <row r="75" spans="1:4" x14ac:dyDescent="0.3">
      <c r="A75" s="13"/>
      <c r="B75" s="14"/>
      <c r="C75" s="5"/>
      <c r="D75" s="14"/>
    </row>
    <row r="76" spans="1:4" x14ac:dyDescent="0.3">
      <c r="A76" s="13"/>
      <c r="B76" s="14"/>
      <c r="C76" s="5"/>
      <c r="D76" s="14"/>
    </row>
    <row r="77" spans="1:4" x14ac:dyDescent="0.3">
      <c r="A77" s="13"/>
      <c r="B77" s="14"/>
      <c r="C77" s="5"/>
      <c r="D77" s="14"/>
    </row>
    <row r="78" spans="1:4" x14ac:dyDescent="0.3">
      <c r="A78" s="13"/>
      <c r="B78" s="14"/>
      <c r="C78" s="5"/>
      <c r="D78" s="14"/>
    </row>
    <row r="79" spans="1:4" x14ac:dyDescent="0.3">
      <c r="A79" s="13"/>
      <c r="B79" s="14"/>
      <c r="C79" s="5"/>
      <c r="D79" s="14"/>
    </row>
    <row r="80" spans="1:4" x14ac:dyDescent="0.3">
      <c r="A80" s="13"/>
      <c r="B80" s="14"/>
      <c r="C80" s="5"/>
      <c r="D80" s="14"/>
    </row>
    <row r="81" spans="1:4" x14ac:dyDescent="0.3">
      <c r="A81" s="13"/>
      <c r="B81" s="14"/>
      <c r="C81" s="5"/>
      <c r="D81" s="14"/>
    </row>
    <row r="82" spans="1:4" x14ac:dyDescent="0.3">
      <c r="A82" s="13"/>
      <c r="B82" s="14"/>
      <c r="C82" s="5"/>
      <c r="D82" s="14"/>
    </row>
    <row r="83" spans="1:4" x14ac:dyDescent="0.3">
      <c r="A83" s="13"/>
      <c r="B83" s="14"/>
      <c r="C83" s="5"/>
      <c r="D83" s="14"/>
    </row>
    <row r="84" spans="1:4" x14ac:dyDescent="0.3">
      <c r="A84" s="13"/>
      <c r="B84" s="14"/>
      <c r="C84" s="5"/>
      <c r="D84" s="14"/>
    </row>
    <row r="85" spans="1:4" x14ac:dyDescent="0.3">
      <c r="A85" s="13"/>
      <c r="B85" s="14"/>
      <c r="C85" s="5"/>
      <c r="D85" s="14"/>
    </row>
    <row r="86" spans="1:4" x14ac:dyDescent="0.3">
      <c r="A86" s="13"/>
      <c r="B86" s="14"/>
      <c r="C86" s="5"/>
      <c r="D86" s="14"/>
    </row>
    <row r="87" spans="1:4" x14ac:dyDescent="0.3">
      <c r="A87" s="13"/>
      <c r="B87" s="14"/>
      <c r="C87" s="5"/>
      <c r="D87" s="14"/>
    </row>
    <row r="88" spans="1:4" x14ac:dyDescent="0.3">
      <c r="A88" s="13"/>
      <c r="B88" s="14"/>
      <c r="C88" s="5"/>
      <c r="D88" s="14"/>
    </row>
    <row r="89" spans="1:4" x14ac:dyDescent="0.3">
      <c r="A89" s="13"/>
      <c r="B89" s="14"/>
      <c r="C89" s="5"/>
      <c r="D89" s="14"/>
    </row>
    <row r="90" spans="1:4" x14ac:dyDescent="0.3">
      <c r="A90" s="13"/>
      <c r="B90" s="14"/>
      <c r="C90" s="5"/>
      <c r="D90" s="14"/>
    </row>
    <row r="91" spans="1:4" x14ac:dyDescent="0.3">
      <c r="A91" s="13"/>
      <c r="B91" s="14"/>
      <c r="C91" s="5"/>
      <c r="D91" s="14"/>
    </row>
    <row r="92" spans="1:4" x14ac:dyDescent="0.3">
      <c r="A92" s="13"/>
      <c r="B92" s="14"/>
      <c r="C92" s="5"/>
      <c r="D92" s="14"/>
    </row>
    <row r="93" spans="1:4" x14ac:dyDescent="0.3">
      <c r="A93" s="13"/>
      <c r="B93" s="14"/>
      <c r="C93" s="5"/>
      <c r="D93" s="14"/>
    </row>
    <row r="94" spans="1:4" x14ac:dyDescent="0.3">
      <c r="A94" s="13"/>
      <c r="B94" s="14"/>
      <c r="C94" s="5"/>
      <c r="D94" s="14"/>
    </row>
    <row r="95" spans="1:4" x14ac:dyDescent="0.3">
      <c r="A95" s="13"/>
      <c r="B95" s="14"/>
      <c r="C95" s="5"/>
      <c r="D95" s="14"/>
    </row>
    <row r="96" spans="1:4" x14ac:dyDescent="0.3">
      <c r="A96" s="13"/>
      <c r="B96" s="14"/>
      <c r="C96" s="5"/>
      <c r="D96" s="14"/>
    </row>
    <row r="97" spans="1:4" x14ac:dyDescent="0.3">
      <c r="A97" s="13"/>
      <c r="B97" s="14"/>
      <c r="C97" s="5"/>
      <c r="D97" s="14"/>
    </row>
    <row r="98" spans="1:4" x14ac:dyDescent="0.3">
      <c r="A98" s="13"/>
      <c r="B98" s="14"/>
      <c r="C98" s="5"/>
      <c r="D98" s="14"/>
    </row>
    <row r="99" spans="1:4" x14ac:dyDescent="0.3">
      <c r="A99" s="13"/>
      <c r="B99" s="14"/>
      <c r="C99" s="5"/>
      <c r="D99" s="14"/>
    </row>
    <row r="100" spans="1:4" x14ac:dyDescent="0.3">
      <c r="A100" s="13"/>
      <c r="B100" s="14"/>
      <c r="C100" s="5"/>
      <c r="D100" s="14"/>
    </row>
    <row r="101" spans="1:4" x14ac:dyDescent="0.3">
      <c r="A101" s="13"/>
      <c r="B101" s="14"/>
      <c r="C101" s="5"/>
      <c r="D101" s="14"/>
    </row>
    <row r="102" spans="1:4" x14ac:dyDescent="0.3">
      <c r="A102" s="13"/>
      <c r="B102" s="14"/>
      <c r="C102" s="5"/>
      <c r="D102" s="14"/>
    </row>
    <row r="103" spans="1:4" x14ac:dyDescent="0.3">
      <c r="A103" s="13"/>
      <c r="B103" s="14"/>
      <c r="C103" s="5"/>
      <c r="D103" s="14"/>
    </row>
    <row r="104" spans="1:4" x14ac:dyDescent="0.3">
      <c r="A104" s="13"/>
      <c r="B104" s="14"/>
      <c r="C104" s="5"/>
      <c r="D104" s="14"/>
    </row>
  </sheetData>
  <sheetProtection sheet="1"/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J16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0" width="18" customWidth="1"/>
  </cols>
  <sheetData>
    <row r="3" spans="1:10" ht="34.049999999999997" customHeight="1" x14ac:dyDescent="0.3">
      <c r="A3" s="15" t="s">
        <v>53</v>
      </c>
      <c r="B3" s="15" t="s">
        <v>54</v>
      </c>
      <c r="C3" s="15" t="s">
        <v>55</v>
      </c>
      <c r="D3" s="15" t="s">
        <v>56</v>
      </c>
      <c r="E3" s="15" t="s">
        <v>57</v>
      </c>
      <c r="F3" s="15" t="s">
        <v>58</v>
      </c>
      <c r="G3" s="15" t="s">
        <v>59</v>
      </c>
      <c r="H3" s="15" t="s">
        <v>60</v>
      </c>
      <c r="I3" s="15" t="s">
        <v>61</v>
      </c>
      <c r="J3" s="15" t="s">
        <v>62</v>
      </c>
    </row>
    <row r="4" spans="1:10" x14ac:dyDescent="0.3">
      <c r="A4">
        <v>1</v>
      </c>
      <c r="B4" s="16">
        <f>SETUP!$B$4+0*7</f>
        <v>46044</v>
      </c>
      <c r="C4" s="17">
        <f>SUM(DAILY_PLANNER!C4:C10)</f>
        <v>10500</v>
      </c>
      <c r="D4" s="17">
        <f>SUM(DAILY_PLANNER!D4:D10)</f>
        <v>2415</v>
      </c>
      <c r="E4" s="17">
        <f>SUM(DAILY_PLANNER!E4:E10)</f>
        <v>3675</v>
      </c>
      <c r="F4" s="17">
        <f>SUM(DAILY_PLANNER!F4:F10)</f>
        <v>2644.76386036961</v>
      </c>
      <c r="G4" s="17">
        <f>SUM(DAILY_PLANNER!G4:G10)</f>
        <v>0</v>
      </c>
      <c r="H4" s="17">
        <f>SUM(DAILY_PLANNER!H4:H10)</f>
        <v>-3904.76386036961</v>
      </c>
      <c r="I4" s="17">
        <f>SETUP!$B$3</f>
        <v>10000</v>
      </c>
      <c r="J4" s="17">
        <f t="shared" ref="J4:J16" si="0">I4+H4</f>
        <v>6095.2361396303895</v>
      </c>
    </row>
    <row r="5" spans="1:10" x14ac:dyDescent="0.3">
      <c r="A5">
        <v>2</v>
      </c>
      <c r="B5" s="16">
        <f>SETUP!$B$4+1*7</f>
        <v>46051</v>
      </c>
      <c r="C5" s="17">
        <f>SUM(DAILY_PLANNER!C11:C17)</f>
        <v>10500</v>
      </c>
      <c r="D5" s="17">
        <f>SUM(DAILY_PLANNER!D11:D17)</f>
        <v>2415</v>
      </c>
      <c r="E5" s="17">
        <f>SUM(DAILY_PLANNER!E11:E17)</f>
        <v>3675</v>
      </c>
      <c r="F5" s="17">
        <f>SUM(DAILY_PLANNER!F11:F17)</f>
        <v>2644.76386036961</v>
      </c>
      <c r="G5" s="17">
        <f>SUM(DAILY_PLANNER!G11:G17)</f>
        <v>0</v>
      </c>
      <c r="H5" s="17">
        <f>SUM(DAILY_PLANNER!H11:H17)</f>
        <v>-3904.76386036961</v>
      </c>
      <c r="I5" s="17">
        <f t="shared" ref="I5:I16" si="1">J4</f>
        <v>6095.2361396303895</v>
      </c>
      <c r="J5" s="17">
        <f t="shared" si="0"/>
        <v>2190.4722792607795</v>
      </c>
    </row>
    <row r="6" spans="1:10" x14ac:dyDescent="0.3">
      <c r="A6">
        <v>3</v>
      </c>
      <c r="B6" s="16">
        <f>SETUP!$B$4+2*7</f>
        <v>46058</v>
      </c>
      <c r="C6" s="17">
        <f>SUM(DAILY_PLANNER!C18:C24)</f>
        <v>10500</v>
      </c>
      <c r="D6" s="17">
        <f>SUM(DAILY_PLANNER!D18:D24)</f>
        <v>2415</v>
      </c>
      <c r="E6" s="17">
        <f>SUM(DAILY_PLANNER!E18:E24)</f>
        <v>3675</v>
      </c>
      <c r="F6" s="17">
        <f>SUM(DAILY_PLANNER!F18:F24)</f>
        <v>2644.76386036961</v>
      </c>
      <c r="G6" s="17">
        <f>SUM(DAILY_PLANNER!G18:G24)</f>
        <v>0</v>
      </c>
      <c r="H6" s="17">
        <f>SUM(DAILY_PLANNER!H18:H24)</f>
        <v>-3904.76386036961</v>
      </c>
      <c r="I6" s="17">
        <f t="shared" si="1"/>
        <v>2190.4722792607795</v>
      </c>
      <c r="J6" s="17">
        <f t="shared" si="0"/>
        <v>-1714.2915811088305</v>
      </c>
    </row>
    <row r="7" spans="1:10" x14ac:dyDescent="0.3">
      <c r="A7">
        <v>4</v>
      </c>
      <c r="B7" s="16">
        <f>SETUP!$B$4+3*7</f>
        <v>46065</v>
      </c>
      <c r="C7" s="17">
        <f>SUM(DAILY_PLANNER!C25:C31)</f>
        <v>10500</v>
      </c>
      <c r="D7" s="17">
        <f>SUM(DAILY_PLANNER!D25:D31)</f>
        <v>2415</v>
      </c>
      <c r="E7" s="17">
        <f>SUM(DAILY_PLANNER!E25:E31)</f>
        <v>3675</v>
      </c>
      <c r="F7" s="17">
        <f>SUM(DAILY_PLANNER!F25:F31)</f>
        <v>2644.76386036961</v>
      </c>
      <c r="G7" s="17">
        <f>SUM(DAILY_PLANNER!G25:G31)</f>
        <v>0</v>
      </c>
      <c r="H7" s="17">
        <f>SUM(DAILY_PLANNER!H25:H31)</f>
        <v>-3904.76386036961</v>
      </c>
      <c r="I7" s="17">
        <f t="shared" si="1"/>
        <v>-1714.2915811088305</v>
      </c>
      <c r="J7" s="17">
        <f t="shared" si="0"/>
        <v>-5619.0554414784401</v>
      </c>
    </row>
    <row r="8" spans="1:10" x14ac:dyDescent="0.3">
      <c r="A8">
        <v>5</v>
      </c>
      <c r="B8" s="16">
        <f>SETUP!$B$4+4*7</f>
        <v>46072</v>
      </c>
      <c r="C8" s="17">
        <f>SUM(DAILY_PLANNER!C32:C38)</f>
        <v>10500</v>
      </c>
      <c r="D8" s="17">
        <f>SUM(DAILY_PLANNER!D32:D38)</f>
        <v>2415</v>
      </c>
      <c r="E8" s="17">
        <f>SUM(DAILY_PLANNER!E32:E38)</f>
        <v>3675</v>
      </c>
      <c r="F8" s="17">
        <f>SUM(DAILY_PLANNER!F32:F38)</f>
        <v>2644.76386036961</v>
      </c>
      <c r="G8" s="17">
        <f>SUM(DAILY_PLANNER!G32:G38)</f>
        <v>0</v>
      </c>
      <c r="H8" s="17">
        <f>SUM(DAILY_PLANNER!H32:H38)</f>
        <v>-3904.76386036961</v>
      </c>
      <c r="I8" s="17">
        <f t="shared" si="1"/>
        <v>-5619.0554414784401</v>
      </c>
      <c r="J8" s="17">
        <f t="shared" si="0"/>
        <v>-9523.8193018480506</v>
      </c>
    </row>
    <row r="9" spans="1:10" x14ac:dyDescent="0.3">
      <c r="A9">
        <v>6</v>
      </c>
      <c r="B9" s="16">
        <f>SETUP!$B$4+5*7</f>
        <v>46079</v>
      </c>
      <c r="C9" s="17">
        <f>SUM(DAILY_PLANNER!C39:C45)</f>
        <v>10500</v>
      </c>
      <c r="D9" s="17">
        <f>SUM(DAILY_PLANNER!D39:D45)</f>
        <v>2415</v>
      </c>
      <c r="E9" s="17">
        <f>SUM(DAILY_PLANNER!E39:E45)</f>
        <v>3675</v>
      </c>
      <c r="F9" s="17">
        <f>SUM(DAILY_PLANNER!F39:F45)</f>
        <v>2644.76386036961</v>
      </c>
      <c r="G9" s="17">
        <f>SUM(DAILY_PLANNER!G39:G45)</f>
        <v>0</v>
      </c>
      <c r="H9" s="17">
        <f>SUM(DAILY_PLANNER!H39:H45)</f>
        <v>-3904.76386036961</v>
      </c>
      <c r="I9" s="17">
        <f t="shared" si="1"/>
        <v>-9523.8193018480506</v>
      </c>
      <c r="J9" s="17">
        <f t="shared" si="0"/>
        <v>-13428.583162217661</v>
      </c>
    </row>
    <row r="10" spans="1:10" x14ac:dyDescent="0.3">
      <c r="A10">
        <v>7</v>
      </c>
      <c r="B10" s="16">
        <f>SETUP!$B$4+6*7</f>
        <v>46086</v>
      </c>
      <c r="C10" s="17">
        <f>SUM(DAILY_PLANNER!C46:C52)</f>
        <v>10500</v>
      </c>
      <c r="D10" s="17">
        <f>SUM(DAILY_PLANNER!D46:D52)</f>
        <v>2415</v>
      </c>
      <c r="E10" s="17">
        <f>SUM(DAILY_PLANNER!E46:E52)</f>
        <v>3675</v>
      </c>
      <c r="F10" s="17">
        <f>SUM(DAILY_PLANNER!F46:F52)</f>
        <v>2644.76386036961</v>
      </c>
      <c r="G10" s="17">
        <f>SUM(DAILY_PLANNER!G46:G52)</f>
        <v>0</v>
      </c>
      <c r="H10" s="17">
        <f>SUM(DAILY_PLANNER!H46:H52)</f>
        <v>-3904.76386036961</v>
      </c>
      <c r="I10" s="17">
        <f t="shared" si="1"/>
        <v>-13428.583162217661</v>
      </c>
      <c r="J10" s="17">
        <f t="shared" si="0"/>
        <v>-17333.34702258727</v>
      </c>
    </row>
    <row r="11" spans="1:10" x14ac:dyDescent="0.3">
      <c r="A11">
        <v>8</v>
      </c>
      <c r="B11" s="16">
        <f>SETUP!$B$4+7*7</f>
        <v>46093</v>
      </c>
      <c r="C11" s="17">
        <f>SUM(DAILY_PLANNER!C53:C59)</f>
        <v>10500</v>
      </c>
      <c r="D11" s="17">
        <f>SUM(DAILY_PLANNER!D53:D59)</f>
        <v>2415</v>
      </c>
      <c r="E11" s="17">
        <f>SUM(DAILY_PLANNER!E53:E59)</f>
        <v>3675</v>
      </c>
      <c r="F11" s="17">
        <f>SUM(DAILY_PLANNER!F53:F59)</f>
        <v>2644.76386036961</v>
      </c>
      <c r="G11" s="17">
        <f>SUM(DAILY_PLANNER!G53:G59)</f>
        <v>0</v>
      </c>
      <c r="H11" s="17">
        <f>SUM(DAILY_PLANNER!H53:H59)</f>
        <v>-3904.76386036961</v>
      </c>
      <c r="I11" s="17">
        <f t="shared" si="1"/>
        <v>-17333.34702258727</v>
      </c>
      <c r="J11" s="17">
        <f t="shared" si="0"/>
        <v>-21238.11088295688</v>
      </c>
    </row>
    <row r="12" spans="1:10" x14ac:dyDescent="0.3">
      <c r="A12">
        <v>9</v>
      </c>
      <c r="B12" s="16">
        <f>SETUP!$B$4+8*7</f>
        <v>46100</v>
      </c>
      <c r="C12" s="17">
        <f>SUM(DAILY_PLANNER!C60:C66)</f>
        <v>10500</v>
      </c>
      <c r="D12" s="17">
        <f>SUM(DAILY_PLANNER!D60:D66)</f>
        <v>2415</v>
      </c>
      <c r="E12" s="17">
        <f>SUM(DAILY_PLANNER!E60:E66)</f>
        <v>3675</v>
      </c>
      <c r="F12" s="17">
        <f>SUM(DAILY_PLANNER!F60:F66)</f>
        <v>2644.76386036961</v>
      </c>
      <c r="G12" s="17">
        <f>SUM(DAILY_PLANNER!G60:G66)</f>
        <v>0</v>
      </c>
      <c r="H12" s="17">
        <f>SUM(DAILY_PLANNER!H60:H66)</f>
        <v>-3904.76386036961</v>
      </c>
      <c r="I12" s="17">
        <f t="shared" si="1"/>
        <v>-21238.11088295688</v>
      </c>
      <c r="J12" s="17">
        <f t="shared" si="0"/>
        <v>-25142.874743326491</v>
      </c>
    </row>
    <row r="13" spans="1:10" x14ac:dyDescent="0.3">
      <c r="A13">
        <v>10</v>
      </c>
      <c r="B13" s="16">
        <f>SETUP!$B$4+9*7</f>
        <v>46107</v>
      </c>
      <c r="C13" s="17">
        <f>SUM(DAILY_PLANNER!C67:C73)</f>
        <v>10500</v>
      </c>
      <c r="D13" s="17">
        <f>SUM(DAILY_PLANNER!D67:D73)</f>
        <v>2415</v>
      </c>
      <c r="E13" s="17">
        <f>SUM(DAILY_PLANNER!E67:E73)</f>
        <v>3675</v>
      </c>
      <c r="F13" s="17">
        <f>SUM(DAILY_PLANNER!F67:F73)</f>
        <v>2644.76386036961</v>
      </c>
      <c r="G13" s="17">
        <f>SUM(DAILY_PLANNER!G67:G73)</f>
        <v>0</v>
      </c>
      <c r="H13" s="17">
        <f>SUM(DAILY_PLANNER!H67:H73)</f>
        <v>-3904.76386036961</v>
      </c>
      <c r="I13" s="17">
        <f t="shared" si="1"/>
        <v>-25142.874743326491</v>
      </c>
      <c r="J13" s="17">
        <f t="shared" si="0"/>
        <v>-29047.638603696101</v>
      </c>
    </row>
    <row r="14" spans="1:10" x14ac:dyDescent="0.3">
      <c r="A14">
        <v>11</v>
      </c>
      <c r="B14" s="16">
        <f>SETUP!$B$4+10*7</f>
        <v>46114</v>
      </c>
      <c r="C14" s="17">
        <f>SUM(DAILY_PLANNER!C74:C80)</f>
        <v>10500</v>
      </c>
      <c r="D14" s="17">
        <f>SUM(DAILY_PLANNER!D74:D80)</f>
        <v>2415</v>
      </c>
      <c r="E14" s="17">
        <f>SUM(DAILY_PLANNER!E74:E80)</f>
        <v>3675</v>
      </c>
      <c r="F14" s="17">
        <f>SUM(DAILY_PLANNER!F74:F80)</f>
        <v>2644.76386036961</v>
      </c>
      <c r="G14" s="17">
        <f>SUM(DAILY_PLANNER!G74:G80)</f>
        <v>0</v>
      </c>
      <c r="H14" s="17">
        <f>SUM(DAILY_PLANNER!H74:H80)</f>
        <v>-3904.76386036961</v>
      </c>
      <c r="I14" s="17">
        <f t="shared" si="1"/>
        <v>-29047.638603696101</v>
      </c>
      <c r="J14" s="17">
        <f t="shared" si="0"/>
        <v>-32952.402464065708</v>
      </c>
    </row>
    <row r="15" spans="1:10" x14ac:dyDescent="0.3">
      <c r="A15">
        <v>12</v>
      </c>
      <c r="B15" s="16">
        <f>SETUP!$B$4+11*7</f>
        <v>46121</v>
      </c>
      <c r="C15" s="17">
        <f>SUM(DAILY_PLANNER!C81:C87)</f>
        <v>10500</v>
      </c>
      <c r="D15" s="17">
        <f>SUM(DAILY_PLANNER!D81:D87)</f>
        <v>2415</v>
      </c>
      <c r="E15" s="17">
        <f>SUM(DAILY_PLANNER!E81:E87)</f>
        <v>3675</v>
      </c>
      <c r="F15" s="17">
        <f>SUM(DAILY_PLANNER!F81:F87)</f>
        <v>2644.76386036961</v>
      </c>
      <c r="G15" s="17">
        <f>SUM(DAILY_PLANNER!G81:G87)</f>
        <v>0</v>
      </c>
      <c r="H15" s="17">
        <f>SUM(DAILY_PLANNER!H81:H87)</f>
        <v>-3904.76386036961</v>
      </c>
      <c r="I15" s="17">
        <f t="shared" si="1"/>
        <v>-32952.402464065708</v>
      </c>
      <c r="J15" s="17">
        <f t="shared" si="0"/>
        <v>-36857.166324435319</v>
      </c>
    </row>
    <row r="16" spans="1:10" x14ac:dyDescent="0.3">
      <c r="A16">
        <v>13</v>
      </c>
      <c r="B16" s="16">
        <f>SETUP!$B$4+12*7</f>
        <v>46128</v>
      </c>
      <c r="C16" s="17">
        <f>SUM(DAILY_PLANNER!C88:C94)</f>
        <v>9000</v>
      </c>
      <c r="D16" s="17">
        <f>SUM(DAILY_PLANNER!D88:D94)</f>
        <v>2070</v>
      </c>
      <c r="E16" s="17">
        <f>SUM(DAILY_PLANNER!E88:E94)</f>
        <v>3150</v>
      </c>
      <c r="F16" s="17">
        <f>SUM(DAILY_PLANNER!F88:F94)</f>
        <v>2266.94045174538</v>
      </c>
      <c r="G16" s="17">
        <f>SUM(DAILY_PLANNER!G88:G94)</f>
        <v>0</v>
      </c>
      <c r="H16" s="17">
        <f>SUM(DAILY_PLANNER!H88:H94)</f>
        <v>-3346.94045174538</v>
      </c>
      <c r="I16" s="17">
        <f t="shared" si="1"/>
        <v>-36857.166324435319</v>
      </c>
      <c r="J16" s="17">
        <f t="shared" si="0"/>
        <v>-40204.106776180699</v>
      </c>
    </row>
  </sheetData>
  <sheetProtection sheet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J9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4" customWidth="1"/>
    <col min="3" max="10" width="18" customWidth="1"/>
  </cols>
  <sheetData>
    <row r="3" spans="1:10" ht="34.049999999999997" customHeight="1" x14ac:dyDescent="0.3">
      <c r="A3" s="15" t="s">
        <v>50</v>
      </c>
      <c r="B3" s="15" t="s">
        <v>63</v>
      </c>
      <c r="C3" s="15" t="s">
        <v>64</v>
      </c>
      <c r="D3" s="15" t="s">
        <v>56</v>
      </c>
      <c r="E3" s="15" t="s">
        <v>57</v>
      </c>
      <c r="F3" s="15" t="s">
        <v>65</v>
      </c>
      <c r="G3" s="15" t="s">
        <v>59</v>
      </c>
      <c r="H3" s="15" t="s">
        <v>60</v>
      </c>
      <c r="I3" s="15" t="s">
        <v>61</v>
      </c>
      <c r="J3" s="15" t="s">
        <v>62</v>
      </c>
    </row>
    <row r="4" spans="1:10" x14ac:dyDescent="0.3">
      <c r="A4" s="16">
        <f>SETUP!$B$4+0</f>
        <v>46044</v>
      </c>
      <c r="B4" t="str">
        <f t="shared" ref="B4:B35" si="0">TEXT(A4,"ddd")</f>
        <v>Thu</v>
      </c>
      <c r="C4" s="17">
        <f>SETUP!$B$5*(1+SETUP!$B$17)</f>
        <v>1500</v>
      </c>
      <c r="D4" s="17">
        <f>C4*(SETUP!$B$6+SETUP!$B$18)</f>
        <v>345</v>
      </c>
      <c r="E4" s="17">
        <f>C4*(SETUP!$B$7+SETUP!$B$22)</f>
        <v>525</v>
      </c>
      <c r="F4" s="17">
        <f>((SETUP!$B$8*(1+SETUP!$B$19)+SETUP!$B$9*(1+SETUP!$B$20)+SETUP!$B$10*(1+SETUP!$B$21))/SETUP!$B$14)</f>
        <v>377.82340862422996</v>
      </c>
      <c r="G4" s="17">
        <f>SUMIF(ONE_OFF_EVENTS!$A$5:$A$104,A4,ONE_OFF_EVENTS!$C$5:$C$104)</f>
        <v>0</v>
      </c>
      <c r="H4" s="17">
        <f t="shared" ref="H4:H35" si="1">D4-E4-F4+G4</f>
        <v>-557.82340862422996</v>
      </c>
      <c r="I4" s="17">
        <f>SETUP!$B$3</f>
        <v>10000</v>
      </c>
      <c r="J4" s="17">
        <f t="shared" ref="J4:J35" si="2">I4+H4</f>
        <v>9442.1765913757699</v>
      </c>
    </row>
    <row r="5" spans="1:10" x14ac:dyDescent="0.3">
      <c r="A5" s="16">
        <f>SETUP!$B$4+1</f>
        <v>46045</v>
      </c>
      <c r="B5" t="str">
        <f t="shared" si="0"/>
        <v>Fri</v>
      </c>
      <c r="C5" s="17">
        <f>SETUP!$B$5*(1+SETUP!$B$17)</f>
        <v>1500</v>
      </c>
      <c r="D5" s="17">
        <f>C5*(SETUP!$B$6+SETUP!$B$18)</f>
        <v>345</v>
      </c>
      <c r="E5" s="17">
        <f>C5*(SETUP!$B$7+SETUP!$B$22)</f>
        <v>525</v>
      </c>
      <c r="F5" s="17">
        <f>((SETUP!$B$8*(1+SETUP!$B$19)+SETUP!$B$9*(1+SETUP!$B$20)+SETUP!$B$10*(1+SETUP!$B$21))/SETUP!$B$14)</f>
        <v>377.82340862422996</v>
      </c>
      <c r="G5" s="17">
        <f>SUMIF(ONE_OFF_EVENTS!$A$5:$A$104,A5,ONE_OFF_EVENTS!$C$5:$C$104)</f>
        <v>0</v>
      </c>
      <c r="H5" s="17">
        <f t="shared" si="1"/>
        <v>-557.82340862422996</v>
      </c>
      <c r="I5" s="17">
        <f t="shared" ref="I5:I36" si="3">J4</f>
        <v>9442.1765913757699</v>
      </c>
      <c r="J5" s="17">
        <f t="shared" si="2"/>
        <v>8884.3531827515399</v>
      </c>
    </row>
    <row r="6" spans="1:10" x14ac:dyDescent="0.3">
      <c r="A6" s="16">
        <f>SETUP!$B$4+2</f>
        <v>46046</v>
      </c>
      <c r="B6" t="str">
        <f t="shared" si="0"/>
        <v>Sat</v>
      </c>
      <c r="C6" s="17">
        <f>SETUP!$B$5*(1+SETUP!$B$17)</f>
        <v>1500</v>
      </c>
      <c r="D6" s="17">
        <f>C6*(SETUP!$B$6+SETUP!$B$18)</f>
        <v>345</v>
      </c>
      <c r="E6" s="17">
        <f>C6*(SETUP!$B$7+SETUP!$B$22)</f>
        <v>525</v>
      </c>
      <c r="F6" s="17">
        <f>((SETUP!$B$8*(1+SETUP!$B$19)+SETUP!$B$9*(1+SETUP!$B$20)+SETUP!$B$10*(1+SETUP!$B$21))/SETUP!$B$14)</f>
        <v>377.82340862422996</v>
      </c>
      <c r="G6" s="17">
        <f>SUMIF(ONE_OFF_EVENTS!$A$5:$A$104,A6,ONE_OFF_EVENTS!$C$5:$C$104)</f>
        <v>0</v>
      </c>
      <c r="H6" s="17">
        <f t="shared" si="1"/>
        <v>-557.82340862422996</v>
      </c>
      <c r="I6" s="17">
        <f t="shared" si="3"/>
        <v>8884.3531827515399</v>
      </c>
      <c r="J6" s="17">
        <f t="shared" si="2"/>
        <v>8326.5297741273098</v>
      </c>
    </row>
    <row r="7" spans="1:10" x14ac:dyDescent="0.3">
      <c r="A7" s="16">
        <f>SETUP!$B$4+3</f>
        <v>46047</v>
      </c>
      <c r="B7" t="str">
        <f t="shared" si="0"/>
        <v>Sun</v>
      </c>
      <c r="C7" s="17">
        <f>SETUP!$B$5*(1+SETUP!$B$17)</f>
        <v>1500</v>
      </c>
      <c r="D7" s="17">
        <f>C7*(SETUP!$B$6+SETUP!$B$18)</f>
        <v>345</v>
      </c>
      <c r="E7" s="17">
        <f>C7*(SETUP!$B$7+SETUP!$B$22)</f>
        <v>525</v>
      </c>
      <c r="F7" s="17">
        <f>((SETUP!$B$8*(1+SETUP!$B$19)+SETUP!$B$9*(1+SETUP!$B$20)+SETUP!$B$10*(1+SETUP!$B$21))/SETUP!$B$14)</f>
        <v>377.82340862422996</v>
      </c>
      <c r="G7" s="17">
        <f>SUMIF(ONE_OFF_EVENTS!$A$5:$A$104,A7,ONE_OFF_EVENTS!$C$5:$C$104)</f>
        <v>0</v>
      </c>
      <c r="H7" s="17">
        <f t="shared" si="1"/>
        <v>-557.82340862422996</v>
      </c>
      <c r="I7" s="17">
        <f t="shared" si="3"/>
        <v>8326.5297741273098</v>
      </c>
      <c r="J7" s="17">
        <f t="shared" si="2"/>
        <v>7768.7063655030797</v>
      </c>
    </row>
    <row r="8" spans="1:10" x14ac:dyDescent="0.3">
      <c r="A8" s="16">
        <f>SETUP!$B$4+4</f>
        <v>46048</v>
      </c>
      <c r="B8" t="str">
        <f t="shared" si="0"/>
        <v>Mon</v>
      </c>
      <c r="C8" s="17">
        <f>SETUP!$B$5*(1+SETUP!$B$17)</f>
        <v>1500</v>
      </c>
      <c r="D8" s="17">
        <f>C8*(SETUP!$B$6+SETUP!$B$18)</f>
        <v>345</v>
      </c>
      <c r="E8" s="17">
        <f>C8*(SETUP!$B$7+SETUP!$B$22)</f>
        <v>525</v>
      </c>
      <c r="F8" s="17">
        <f>((SETUP!$B$8*(1+SETUP!$B$19)+SETUP!$B$9*(1+SETUP!$B$20)+SETUP!$B$10*(1+SETUP!$B$21))/SETUP!$B$14)</f>
        <v>377.82340862422996</v>
      </c>
      <c r="G8" s="17">
        <f>SUMIF(ONE_OFF_EVENTS!$A$5:$A$104,A8,ONE_OFF_EVENTS!$C$5:$C$104)</f>
        <v>0</v>
      </c>
      <c r="H8" s="17">
        <f t="shared" si="1"/>
        <v>-557.82340862422996</v>
      </c>
      <c r="I8" s="17">
        <f t="shared" si="3"/>
        <v>7768.7063655030797</v>
      </c>
      <c r="J8" s="17">
        <f t="shared" si="2"/>
        <v>7210.8829568788497</v>
      </c>
    </row>
    <row r="9" spans="1:10" x14ac:dyDescent="0.3">
      <c r="A9" s="16">
        <f>SETUP!$B$4+5</f>
        <v>46049</v>
      </c>
      <c r="B9" t="str">
        <f t="shared" si="0"/>
        <v>Tue</v>
      </c>
      <c r="C9" s="17">
        <f>SETUP!$B$5*(1+SETUP!$B$17)</f>
        <v>1500</v>
      </c>
      <c r="D9" s="17">
        <f>C9*(SETUP!$B$6+SETUP!$B$18)</f>
        <v>345</v>
      </c>
      <c r="E9" s="17">
        <f>C9*(SETUP!$B$7+SETUP!$B$22)</f>
        <v>525</v>
      </c>
      <c r="F9" s="17">
        <f>((SETUP!$B$8*(1+SETUP!$B$19)+SETUP!$B$9*(1+SETUP!$B$20)+SETUP!$B$10*(1+SETUP!$B$21))/SETUP!$B$14)</f>
        <v>377.82340862422996</v>
      </c>
      <c r="G9" s="17">
        <f>SUMIF(ONE_OFF_EVENTS!$A$5:$A$104,A9,ONE_OFF_EVENTS!$C$5:$C$104)</f>
        <v>0</v>
      </c>
      <c r="H9" s="17">
        <f t="shared" si="1"/>
        <v>-557.82340862422996</v>
      </c>
      <c r="I9" s="17">
        <f t="shared" si="3"/>
        <v>7210.8829568788497</v>
      </c>
      <c r="J9" s="17">
        <f t="shared" si="2"/>
        <v>6653.0595482546196</v>
      </c>
    </row>
    <row r="10" spans="1:10" x14ac:dyDescent="0.3">
      <c r="A10" s="16">
        <f>SETUP!$B$4+6</f>
        <v>46050</v>
      </c>
      <c r="B10" t="str">
        <f t="shared" si="0"/>
        <v>Wed</v>
      </c>
      <c r="C10" s="17">
        <f>SETUP!$B$5*(1+SETUP!$B$17)</f>
        <v>1500</v>
      </c>
      <c r="D10" s="17">
        <f>C10*(SETUP!$B$6+SETUP!$B$18)</f>
        <v>345</v>
      </c>
      <c r="E10" s="17">
        <f>C10*(SETUP!$B$7+SETUP!$B$22)</f>
        <v>525</v>
      </c>
      <c r="F10" s="17">
        <f>((SETUP!$B$8*(1+SETUP!$B$19)+SETUP!$B$9*(1+SETUP!$B$20)+SETUP!$B$10*(1+SETUP!$B$21))/SETUP!$B$14)</f>
        <v>377.82340862422996</v>
      </c>
      <c r="G10" s="17">
        <f>SUMIF(ONE_OFF_EVENTS!$A$5:$A$104,A10,ONE_OFF_EVENTS!$C$5:$C$104)</f>
        <v>0</v>
      </c>
      <c r="H10" s="17">
        <f t="shared" si="1"/>
        <v>-557.82340862422996</v>
      </c>
      <c r="I10" s="17">
        <f t="shared" si="3"/>
        <v>6653.0595482546196</v>
      </c>
      <c r="J10" s="17">
        <f t="shared" si="2"/>
        <v>6095.2361396303895</v>
      </c>
    </row>
    <row r="11" spans="1:10" x14ac:dyDescent="0.3">
      <c r="A11" s="16">
        <f>SETUP!$B$4+7</f>
        <v>46051</v>
      </c>
      <c r="B11" t="str">
        <f t="shared" si="0"/>
        <v>Thu</v>
      </c>
      <c r="C11" s="17">
        <f>SETUP!$B$5*(1+SETUP!$B$17)</f>
        <v>1500</v>
      </c>
      <c r="D11" s="17">
        <f>C11*(SETUP!$B$6+SETUP!$B$18)</f>
        <v>345</v>
      </c>
      <c r="E11" s="17">
        <f>C11*(SETUP!$B$7+SETUP!$B$22)</f>
        <v>525</v>
      </c>
      <c r="F11" s="17">
        <f>((SETUP!$B$8*(1+SETUP!$B$19)+SETUP!$B$9*(1+SETUP!$B$20)+SETUP!$B$10*(1+SETUP!$B$21))/SETUP!$B$14)</f>
        <v>377.82340862422996</v>
      </c>
      <c r="G11" s="17">
        <f>SUMIF(ONE_OFF_EVENTS!$A$5:$A$104,A11,ONE_OFF_EVENTS!$C$5:$C$104)</f>
        <v>0</v>
      </c>
      <c r="H11" s="17">
        <f t="shared" si="1"/>
        <v>-557.82340862422996</v>
      </c>
      <c r="I11" s="17">
        <f t="shared" si="3"/>
        <v>6095.2361396303895</v>
      </c>
      <c r="J11" s="17">
        <f t="shared" si="2"/>
        <v>5537.4127310061594</v>
      </c>
    </row>
    <row r="12" spans="1:10" x14ac:dyDescent="0.3">
      <c r="A12" s="16">
        <f>SETUP!$B$4+8</f>
        <v>46052</v>
      </c>
      <c r="B12" t="str">
        <f t="shared" si="0"/>
        <v>Fri</v>
      </c>
      <c r="C12" s="17">
        <f>SETUP!$B$5*(1+SETUP!$B$17)</f>
        <v>1500</v>
      </c>
      <c r="D12" s="17">
        <f>C12*(SETUP!$B$6+SETUP!$B$18)</f>
        <v>345</v>
      </c>
      <c r="E12" s="17">
        <f>C12*(SETUP!$B$7+SETUP!$B$22)</f>
        <v>525</v>
      </c>
      <c r="F12" s="17">
        <f>((SETUP!$B$8*(1+SETUP!$B$19)+SETUP!$B$9*(1+SETUP!$B$20)+SETUP!$B$10*(1+SETUP!$B$21))/SETUP!$B$14)</f>
        <v>377.82340862422996</v>
      </c>
      <c r="G12" s="17">
        <f>SUMIF(ONE_OFF_EVENTS!$A$5:$A$104,A12,ONE_OFF_EVENTS!$C$5:$C$104)</f>
        <v>0</v>
      </c>
      <c r="H12" s="17">
        <f t="shared" si="1"/>
        <v>-557.82340862422996</v>
      </c>
      <c r="I12" s="17">
        <f t="shared" si="3"/>
        <v>5537.4127310061594</v>
      </c>
      <c r="J12" s="17">
        <f t="shared" si="2"/>
        <v>4979.5893223819294</v>
      </c>
    </row>
    <row r="13" spans="1:10" x14ac:dyDescent="0.3">
      <c r="A13" s="16">
        <f>SETUP!$B$4+9</f>
        <v>46053</v>
      </c>
      <c r="B13" t="str">
        <f t="shared" si="0"/>
        <v>Sat</v>
      </c>
      <c r="C13" s="17">
        <f>SETUP!$B$5*(1+SETUP!$B$17)</f>
        <v>1500</v>
      </c>
      <c r="D13" s="17">
        <f>C13*(SETUP!$B$6+SETUP!$B$18)</f>
        <v>345</v>
      </c>
      <c r="E13" s="17">
        <f>C13*(SETUP!$B$7+SETUP!$B$22)</f>
        <v>525</v>
      </c>
      <c r="F13" s="17">
        <f>((SETUP!$B$8*(1+SETUP!$B$19)+SETUP!$B$9*(1+SETUP!$B$20)+SETUP!$B$10*(1+SETUP!$B$21))/SETUP!$B$14)</f>
        <v>377.82340862422996</v>
      </c>
      <c r="G13" s="17">
        <f>SUMIF(ONE_OFF_EVENTS!$A$5:$A$104,A13,ONE_OFF_EVENTS!$C$5:$C$104)</f>
        <v>0</v>
      </c>
      <c r="H13" s="17">
        <f t="shared" si="1"/>
        <v>-557.82340862422996</v>
      </c>
      <c r="I13" s="17">
        <f t="shared" si="3"/>
        <v>4979.5893223819294</v>
      </c>
      <c r="J13" s="17">
        <f t="shared" si="2"/>
        <v>4421.7659137576993</v>
      </c>
    </row>
    <row r="14" spans="1:10" x14ac:dyDescent="0.3">
      <c r="A14" s="16">
        <f>SETUP!$B$4+10</f>
        <v>46054</v>
      </c>
      <c r="B14" t="str">
        <f t="shared" si="0"/>
        <v>Sun</v>
      </c>
      <c r="C14" s="17">
        <f>SETUP!$B$5*(1+SETUP!$B$17)</f>
        <v>1500</v>
      </c>
      <c r="D14" s="17">
        <f>C14*(SETUP!$B$6+SETUP!$B$18)</f>
        <v>345</v>
      </c>
      <c r="E14" s="17">
        <f>C14*(SETUP!$B$7+SETUP!$B$22)</f>
        <v>525</v>
      </c>
      <c r="F14" s="17">
        <f>((SETUP!$B$8*(1+SETUP!$B$19)+SETUP!$B$9*(1+SETUP!$B$20)+SETUP!$B$10*(1+SETUP!$B$21))/SETUP!$B$14)</f>
        <v>377.82340862422996</v>
      </c>
      <c r="G14" s="17">
        <f>SUMIF(ONE_OFF_EVENTS!$A$5:$A$104,A14,ONE_OFF_EVENTS!$C$5:$C$104)</f>
        <v>0</v>
      </c>
      <c r="H14" s="17">
        <f t="shared" si="1"/>
        <v>-557.82340862422996</v>
      </c>
      <c r="I14" s="17">
        <f t="shared" si="3"/>
        <v>4421.7659137576993</v>
      </c>
      <c r="J14" s="17">
        <f t="shared" si="2"/>
        <v>3863.9425051334692</v>
      </c>
    </row>
    <row r="15" spans="1:10" x14ac:dyDescent="0.3">
      <c r="A15" s="16">
        <f>SETUP!$B$4+11</f>
        <v>46055</v>
      </c>
      <c r="B15" t="str">
        <f t="shared" si="0"/>
        <v>Mon</v>
      </c>
      <c r="C15" s="17">
        <f>SETUP!$B$5*(1+SETUP!$B$17)</f>
        <v>1500</v>
      </c>
      <c r="D15" s="17">
        <f>C15*(SETUP!$B$6+SETUP!$B$18)</f>
        <v>345</v>
      </c>
      <c r="E15" s="17">
        <f>C15*(SETUP!$B$7+SETUP!$B$22)</f>
        <v>525</v>
      </c>
      <c r="F15" s="17">
        <f>((SETUP!$B$8*(1+SETUP!$B$19)+SETUP!$B$9*(1+SETUP!$B$20)+SETUP!$B$10*(1+SETUP!$B$21))/SETUP!$B$14)</f>
        <v>377.82340862422996</v>
      </c>
      <c r="G15" s="17">
        <f>SUMIF(ONE_OFF_EVENTS!$A$5:$A$104,A15,ONE_OFF_EVENTS!$C$5:$C$104)</f>
        <v>0</v>
      </c>
      <c r="H15" s="17">
        <f t="shared" si="1"/>
        <v>-557.82340862422996</v>
      </c>
      <c r="I15" s="17">
        <f t="shared" si="3"/>
        <v>3863.9425051334692</v>
      </c>
      <c r="J15" s="17">
        <f t="shared" si="2"/>
        <v>3306.1190965092392</v>
      </c>
    </row>
    <row r="16" spans="1:10" x14ac:dyDescent="0.3">
      <c r="A16" s="16">
        <f>SETUP!$B$4+12</f>
        <v>46056</v>
      </c>
      <c r="B16" t="str">
        <f t="shared" si="0"/>
        <v>Tue</v>
      </c>
      <c r="C16" s="17">
        <f>SETUP!$B$5*(1+SETUP!$B$17)</f>
        <v>1500</v>
      </c>
      <c r="D16" s="17">
        <f>C16*(SETUP!$B$6+SETUP!$B$18)</f>
        <v>345</v>
      </c>
      <c r="E16" s="17">
        <f>C16*(SETUP!$B$7+SETUP!$B$22)</f>
        <v>525</v>
      </c>
      <c r="F16" s="17">
        <f>((SETUP!$B$8*(1+SETUP!$B$19)+SETUP!$B$9*(1+SETUP!$B$20)+SETUP!$B$10*(1+SETUP!$B$21))/SETUP!$B$14)</f>
        <v>377.82340862422996</v>
      </c>
      <c r="G16" s="17">
        <f>SUMIF(ONE_OFF_EVENTS!$A$5:$A$104,A16,ONE_OFF_EVENTS!$C$5:$C$104)</f>
        <v>0</v>
      </c>
      <c r="H16" s="17">
        <f t="shared" si="1"/>
        <v>-557.82340862422996</v>
      </c>
      <c r="I16" s="17">
        <f t="shared" si="3"/>
        <v>3306.1190965092392</v>
      </c>
      <c r="J16" s="17">
        <f t="shared" si="2"/>
        <v>2748.2956878850091</v>
      </c>
    </row>
    <row r="17" spans="1:10" x14ac:dyDescent="0.3">
      <c r="A17" s="16">
        <f>SETUP!$B$4+13</f>
        <v>46057</v>
      </c>
      <c r="B17" t="str">
        <f t="shared" si="0"/>
        <v>Wed</v>
      </c>
      <c r="C17" s="17">
        <f>SETUP!$B$5*(1+SETUP!$B$17)</f>
        <v>1500</v>
      </c>
      <c r="D17" s="17">
        <f>C17*(SETUP!$B$6+SETUP!$B$18)</f>
        <v>345</v>
      </c>
      <c r="E17" s="17">
        <f>C17*(SETUP!$B$7+SETUP!$B$22)</f>
        <v>525</v>
      </c>
      <c r="F17" s="17">
        <f>((SETUP!$B$8*(1+SETUP!$B$19)+SETUP!$B$9*(1+SETUP!$B$20)+SETUP!$B$10*(1+SETUP!$B$21))/SETUP!$B$14)</f>
        <v>377.82340862422996</v>
      </c>
      <c r="G17" s="17">
        <f>SUMIF(ONE_OFF_EVENTS!$A$5:$A$104,A17,ONE_OFF_EVENTS!$C$5:$C$104)</f>
        <v>0</v>
      </c>
      <c r="H17" s="17">
        <f t="shared" si="1"/>
        <v>-557.82340862422996</v>
      </c>
      <c r="I17" s="17">
        <f t="shared" si="3"/>
        <v>2748.2956878850091</v>
      </c>
      <c r="J17" s="17">
        <f t="shared" si="2"/>
        <v>2190.472279260779</v>
      </c>
    </row>
    <row r="18" spans="1:10" x14ac:dyDescent="0.3">
      <c r="A18" s="16">
        <f>SETUP!$B$4+14</f>
        <v>46058</v>
      </c>
      <c r="B18" t="str">
        <f t="shared" si="0"/>
        <v>Thu</v>
      </c>
      <c r="C18" s="17">
        <f>SETUP!$B$5*(1+SETUP!$B$17)</f>
        <v>1500</v>
      </c>
      <c r="D18" s="17">
        <f>C18*(SETUP!$B$6+SETUP!$B$18)</f>
        <v>345</v>
      </c>
      <c r="E18" s="17">
        <f>C18*(SETUP!$B$7+SETUP!$B$22)</f>
        <v>525</v>
      </c>
      <c r="F18" s="17">
        <f>((SETUP!$B$8*(1+SETUP!$B$19)+SETUP!$B$9*(1+SETUP!$B$20)+SETUP!$B$10*(1+SETUP!$B$21))/SETUP!$B$14)</f>
        <v>377.82340862422996</v>
      </c>
      <c r="G18" s="17">
        <f>SUMIF(ONE_OFF_EVENTS!$A$5:$A$104,A18,ONE_OFF_EVENTS!$C$5:$C$104)</f>
        <v>0</v>
      </c>
      <c r="H18" s="17">
        <f t="shared" si="1"/>
        <v>-557.82340862422996</v>
      </c>
      <c r="I18" s="17">
        <f t="shared" si="3"/>
        <v>2190.472279260779</v>
      </c>
      <c r="J18" s="17">
        <f t="shared" si="2"/>
        <v>1632.648870636549</v>
      </c>
    </row>
    <row r="19" spans="1:10" x14ac:dyDescent="0.3">
      <c r="A19" s="16">
        <f>SETUP!$B$4+15</f>
        <v>46059</v>
      </c>
      <c r="B19" t="str">
        <f t="shared" si="0"/>
        <v>Fri</v>
      </c>
      <c r="C19" s="17">
        <f>SETUP!$B$5*(1+SETUP!$B$17)</f>
        <v>1500</v>
      </c>
      <c r="D19" s="17">
        <f>C19*(SETUP!$B$6+SETUP!$B$18)</f>
        <v>345</v>
      </c>
      <c r="E19" s="17">
        <f>C19*(SETUP!$B$7+SETUP!$B$22)</f>
        <v>525</v>
      </c>
      <c r="F19" s="17">
        <f>((SETUP!$B$8*(1+SETUP!$B$19)+SETUP!$B$9*(1+SETUP!$B$20)+SETUP!$B$10*(1+SETUP!$B$21))/SETUP!$B$14)</f>
        <v>377.82340862422996</v>
      </c>
      <c r="G19" s="17">
        <f>SUMIF(ONE_OFF_EVENTS!$A$5:$A$104,A19,ONE_OFF_EVENTS!$C$5:$C$104)</f>
        <v>0</v>
      </c>
      <c r="H19" s="17">
        <f t="shared" si="1"/>
        <v>-557.82340862422996</v>
      </c>
      <c r="I19" s="17">
        <f t="shared" si="3"/>
        <v>1632.648870636549</v>
      </c>
      <c r="J19" s="17">
        <f t="shared" si="2"/>
        <v>1074.8254620123189</v>
      </c>
    </row>
    <row r="20" spans="1:10" x14ac:dyDescent="0.3">
      <c r="A20" s="16">
        <f>SETUP!$B$4+16</f>
        <v>46060</v>
      </c>
      <c r="B20" t="str">
        <f t="shared" si="0"/>
        <v>Sat</v>
      </c>
      <c r="C20" s="17">
        <f>SETUP!$B$5*(1+SETUP!$B$17)</f>
        <v>1500</v>
      </c>
      <c r="D20" s="17">
        <f>C20*(SETUP!$B$6+SETUP!$B$18)</f>
        <v>345</v>
      </c>
      <c r="E20" s="17">
        <f>C20*(SETUP!$B$7+SETUP!$B$22)</f>
        <v>525</v>
      </c>
      <c r="F20" s="17">
        <f>((SETUP!$B$8*(1+SETUP!$B$19)+SETUP!$B$9*(1+SETUP!$B$20)+SETUP!$B$10*(1+SETUP!$B$21))/SETUP!$B$14)</f>
        <v>377.82340862422996</v>
      </c>
      <c r="G20" s="17">
        <f>SUMIF(ONE_OFF_EVENTS!$A$5:$A$104,A20,ONE_OFF_EVENTS!$C$5:$C$104)</f>
        <v>0</v>
      </c>
      <c r="H20" s="17">
        <f t="shared" si="1"/>
        <v>-557.82340862422996</v>
      </c>
      <c r="I20" s="17">
        <f t="shared" si="3"/>
        <v>1074.8254620123189</v>
      </c>
      <c r="J20" s="17">
        <f t="shared" si="2"/>
        <v>517.00205338808894</v>
      </c>
    </row>
    <row r="21" spans="1:10" x14ac:dyDescent="0.3">
      <c r="A21" s="16">
        <f>SETUP!$B$4+17</f>
        <v>46061</v>
      </c>
      <c r="B21" t="str">
        <f t="shared" si="0"/>
        <v>Sun</v>
      </c>
      <c r="C21" s="17">
        <f>SETUP!$B$5*(1+SETUP!$B$17)</f>
        <v>1500</v>
      </c>
      <c r="D21" s="17">
        <f>C21*(SETUP!$B$6+SETUP!$B$18)</f>
        <v>345</v>
      </c>
      <c r="E21" s="17">
        <f>C21*(SETUP!$B$7+SETUP!$B$22)</f>
        <v>525</v>
      </c>
      <c r="F21" s="17">
        <f>((SETUP!$B$8*(1+SETUP!$B$19)+SETUP!$B$9*(1+SETUP!$B$20)+SETUP!$B$10*(1+SETUP!$B$21))/SETUP!$B$14)</f>
        <v>377.82340862422996</v>
      </c>
      <c r="G21" s="17">
        <f>SUMIF(ONE_OFF_EVENTS!$A$5:$A$104,A21,ONE_OFF_EVENTS!$C$5:$C$104)</f>
        <v>0</v>
      </c>
      <c r="H21" s="17">
        <f t="shared" si="1"/>
        <v>-557.82340862422996</v>
      </c>
      <c r="I21" s="17">
        <f t="shared" si="3"/>
        <v>517.00205338808894</v>
      </c>
      <c r="J21" s="17">
        <f t="shared" si="2"/>
        <v>-40.821355236141017</v>
      </c>
    </row>
    <row r="22" spans="1:10" x14ac:dyDescent="0.3">
      <c r="A22" s="16">
        <f>SETUP!$B$4+18</f>
        <v>46062</v>
      </c>
      <c r="B22" t="str">
        <f t="shared" si="0"/>
        <v>Mon</v>
      </c>
      <c r="C22" s="17">
        <f>SETUP!$B$5*(1+SETUP!$B$17)</f>
        <v>1500</v>
      </c>
      <c r="D22" s="17">
        <f>C22*(SETUP!$B$6+SETUP!$B$18)</f>
        <v>345</v>
      </c>
      <c r="E22" s="17">
        <f>C22*(SETUP!$B$7+SETUP!$B$22)</f>
        <v>525</v>
      </c>
      <c r="F22" s="17">
        <f>((SETUP!$B$8*(1+SETUP!$B$19)+SETUP!$B$9*(1+SETUP!$B$20)+SETUP!$B$10*(1+SETUP!$B$21))/SETUP!$B$14)</f>
        <v>377.82340862422996</v>
      </c>
      <c r="G22" s="17">
        <f>SUMIF(ONE_OFF_EVENTS!$A$5:$A$104,A22,ONE_OFF_EVENTS!$C$5:$C$104)</f>
        <v>0</v>
      </c>
      <c r="H22" s="17">
        <f t="shared" si="1"/>
        <v>-557.82340862422996</v>
      </c>
      <c r="I22" s="17">
        <f t="shared" si="3"/>
        <v>-40.821355236141017</v>
      </c>
      <c r="J22" s="17">
        <f t="shared" si="2"/>
        <v>-598.64476386037097</v>
      </c>
    </row>
    <row r="23" spans="1:10" x14ac:dyDescent="0.3">
      <c r="A23" s="16">
        <f>SETUP!$B$4+19</f>
        <v>46063</v>
      </c>
      <c r="B23" t="str">
        <f t="shared" si="0"/>
        <v>Tue</v>
      </c>
      <c r="C23" s="17">
        <f>SETUP!$B$5*(1+SETUP!$B$17)</f>
        <v>1500</v>
      </c>
      <c r="D23" s="17">
        <f>C23*(SETUP!$B$6+SETUP!$B$18)</f>
        <v>345</v>
      </c>
      <c r="E23" s="17">
        <f>C23*(SETUP!$B$7+SETUP!$B$22)</f>
        <v>525</v>
      </c>
      <c r="F23" s="17">
        <f>((SETUP!$B$8*(1+SETUP!$B$19)+SETUP!$B$9*(1+SETUP!$B$20)+SETUP!$B$10*(1+SETUP!$B$21))/SETUP!$B$14)</f>
        <v>377.82340862422996</v>
      </c>
      <c r="G23" s="17">
        <f>SUMIF(ONE_OFF_EVENTS!$A$5:$A$104,A23,ONE_OFF_EVENTS!$C$5:$C$104)</f>
        <v>0</v>
      </c>
      <c r="H23" s="17">
        <f t="shared" si="1"/>
        <v>-557.82340862422996</v>
      </c>
      <c r="I23" s="17">
        <f t="shared" si="3"/>
        <v>-598.64476386037097</v>
      </c>
      <c r="J23" s="17">
        <f t="shared" si="2"/>
        <v>-1156.4681724846009</v>
      </c>
    </row>
    <row r="24" spans="1:10" x14ac:dyDescent="0.3">
      <c r="A24" s="16">
        <f>SETUP!$B$4+20</f>
        <v>46064</v>
      </c>
      <c r="B24" t="str">
        <f t="shared" si="0"/>
        <v>Wed</v>
      </c>
      <c r="C24" s="17">
        <f>SETUP!$B$5*(1+SETUP!$B$17)</f>
        <v>1500</v>
      </c>
      <c r="D24" s="17">
        <f>C24*(SETUP!$B$6+SETUP!$B$18)</f>
        <v>345</v>
      </c>
      <c r="E24" s="17">
        <f>C24*(SETUP!$B$7+SETUP!$B$22)</f>
        <v>525</v>
      </c>
      <c r="F24" s="17">
        <f>((SETUP!$B$8*(1+SETUP!$B$19)+SETUP!$B$9*(1+SETUP!$B$20)+SETUP!$B$10*(1+SETUP!$B$21))/SETUP!$B$14)</f>
        <v>377.82340862422996</v>
      </c>
      <c r="G24" s="17">
        <f>SUMIF(ONE_OFF_EVENTS!$A$5:$A$104,A24,ONE_OFF_EVENTS!$C$5:$C$104)</f>
        <v>0</v>
      </c>
      <c r="H24" s="17">
        <f t="shared" si="1"/>
        <v>-557.82340862422996</v>
      </c>
      <c r="I24" s="17">
        <f t="shared" si="3"/>
        <v>-1156.4681724846009</v>
      </c>
      <c r="J24" s="17">
        <f t="shared" si="2"/>
        <v>-1714.291581108831</v>
      </c>
    </row>
    <row r="25" spans="1:10" x14ac:dyDescent="0.3">
      <c r="A25" s="16">
        <f>SETUP!$B$4+21</f>
        <v>46065</v>
      </c>
      <c r="B25" t="str">
        <f t="shared" si="0"/>
        <v>Thu</v>
      </c>
      <c r="C25" s="17">
        <f>SETUP!$B$5*(1+SETUP!$B$17)</f>
        <v>1500</v>
      </c>
      <c r="D25" s="17">
        <f>C25*(SETUP!$B$6+SETUP!$B$18)</f>
        <v>345</v>
      </c>
      <c r="E25" s="17">
        <f>C25*(SETUP!$B$7+SETUP!$B$22)</f>
        <v>525</v>
      </c>
      <c r="F25" s="17">
        <f>((SETUP!$B$8*(1+SETUP!$B$19)+SETUP!$B$9*(1+SETUP!$B$20)+SETUP!$B$10*(1+SETUP!$B$21))/SETUP!$B$14)</f>
        <v>377.82340862422996</v>
      </c>
      <c r="G25" s="17">
        <f>SUMIF(ONE_OFF_EVENTS!$A$5:$A$104,A25,ONE_OFF_EVENTS!$C$5:$C$104)</f>
        <v>0</v>
      </c>
      <c r="H25" s="17">
        <f t="shared" si="1"/>
        <v>-557.82340862422996</v>
      </c>
      <c r="I25" s="17">
        <f t="shared" si="3"/>
        <v>-1714.291581108831</v>
      </c>
      <c r="J25" s="17">
        <f t="shared" si="2"/>
        <v>-2272.1149897330611</v>
      </c>
    </row>
    <row r="26" spans="1:10" x14ac:dyDescent="0.3">
      <c r="A26" s="16">
        <f>SETUP!$B$4+22</f>
        <v>46066</v>
      </c>
      <c r="B26" t="str">
        <f t="shared" si="0"/>
        <v>Fri</v>
      </c>
      <c r="C26" s="17">
        <f>SETUP!$B$5*(1+SETUP!$B$17)</f>
        <v>1500</v>
      </c>
      <c r="D26" s="17">
        <f>C26*(SETUP!$B$6+SETUP!$B$18)</f>
        <v>345</v>
      </c>
      <c r="E26" s="17">
        <f>C26*(SETUP!$B$7+SETUP!$B$22)</f>
        <v>525</v>
      </c>
      <c r="F26" s="17">
        <f>((SETUP!$B$8*(1+SETUP!$B$19)+SETUP!$B$9*(1+SETUP!$B$20)+SETUP!$B$10*(1+SETUP!$B$21))/SETUP!$B$14)</f>
        <v>377.82340862422996</v>
      </c>
      <c r="G26" s="17">
        <f>SUMIF(ONE_OFF_EVENTS!$A$5:$A$104,A26,ONE_OFF_EVENTS!$C$5:$C$104)</f>
        <v>0</v>
      </c>
      <c r="H26" s="17">
        <f t="shared" si="1"/>
        <v>-557.82340862422996</v>
      </c>
      <c r="I26" s="17">
        <f t="shared" si="3"/>
        <v>-2272.1149897330611</v>
      </c>
      <c r="J26" s="17">
        <f t="shared" si="2"/>
        <v>-2829.9383983572911</v>
      </c>
    </row>
    <row r="27" spans="1:10" x14ac:dyDescent="0.3">
      <c r="A27" s="16">
        <f>SETUP!$B$4+23</f>
        <v>46067</v>
      </c>
      <c r="B27" t="str">
        <f t="shared" si="0"/>
        <v>Sat</v>
      </c>
      <c r="C27" s="17">
        <f>SETUP!$B$5*(1+SETUP!$B$17)</f>
        <v>1500</v>
      </c>
      <c r="D27" s="17">
        <f>C27*(SETUP!$B$6+SETUP!$B$18)</f>
        <v>345</v>
      </c>
      <c r="E27" s="17">
        <f>C27*(SETUP!$B$7+SETUP!$B$22)</f>
        <v>525</v>
      </c>
      <c r="F27" s="17">
        <f>((SETUP!$B$8*(1+SETUP!$B$19)+SETUP!$B$9*(1+SETUP!$B$20)+SETUP!$B$10*(1+SETUP!$B$21))/SETUP!$B$14)</f>
        <v>377.82340862422996</v>
      </c>
      <c r="G27" s="17">
        <f>SUMIF(ONE_OFF_EVENTS!$A$5:$A$104,A27,ONE_OFF_EVENTS!$C$5:$C$104)</f>
        <v>0</v>
      </c>
      <c r="H27" s="17">
        <f t="shared" si="1"/>
        <v>-557.82340862422996</v>
      </c>
      <c r="I27" s="17">
        <f t="shared" si="3"/>
        <v>-2829.9383983572911</v>
      </c>
      <c r="J27" s="17">
        <f t="shared" si="2"/>
        <v>-3387.7618069815212</v>
      </c>
    </row>
    <row r="28" spans="1:10" x14ac:dyDescent="0.3">
      <c r="A28" s="16">
        <f>SETUP!$B$4+24</f>
        <v>46068</v>
      </c>
      <c r="B28" t="str">
        <f t="shared" si="0"/>
        <v>Sun</v>
      </c>
      <c r="C28" s="17">
        <f>SETUP!$B$5*(1+SETUP!$B$17)</f>
        <v>1500</v>
      </c>
      <c r="D28" s="17">
        <f>C28*(SETUP!$B$6+SETUP!$B$18)</f>
        <v>345</v>
      </c>
      <c r="E28" s="17">
        <f>C28*(SETUP!$B$7+SETUP!$B$22)</f>
        <v>525</v>
      </c>
      <c r="F28" s="17">
        <f>((SETUP!$B$8*(1+SETUP!$B$19)+SETUP!$B$9*(1+SETUP!$B$20)+SETUP!$B$10*(1+SETUP!$B$21))/SETUP!$B$14)</f>
        <v>377.82340862422996</v>
      </c>
      <c r="G28" s="17">
        <f>SUMIF(ONE_OFF_EVENTS!$A$5:$A$104,A28,ONE_OFF_EVENTS!$C$5:$C$104)</f>
        <v>0</v>
      </c>
      <c r="H28" s="17">
        <f t="shared" si="1"/>
        <v>-557.82340862422996</v>
      </c>
      <c r="I28" s="17">
        <f t="shared" si="3"/>
        <v>-3387.7618069815212</v>
      </c>
      <c r="J28" s="17">
        <f t="shared" si="2"/>
        <v>-3945.5852156057513</v>
      </c>
    </row>
    <row r="29" spans="1:10" x14ac:dyDescent="0.3">
      <c r="A29" s="16">
        <f>SETUP!$B$4+25</f>
        <v>46069</v>
      </c>
      <c r="B29" t="str">
        <f t="shared" si="0"/>
        <v>Mon</v>
      </c>
      <c r="C29" s="17">
        <f>SETUP!$B$5*(1+SETUP!$B$17)</f>
        <v>1500</v>
      </c>
      <c r="D29" s="17">
        <f>C29*(SETUP!$B$6+SETUP!$B$18)</f>
        <v>345</v>
      </c>
      <c r="E29" s="17">
        <f>C29*(SETUP!$B$7+SETUP!$B$22)</f>
        <v>525</v>
      </c>
      <c r="F29" s="17">
        <f>((SETUP!$B$8*(1+SETUP!$B$19)+SETUP!$B$9*(1+SETUP!$B$20)+SETUP!$B$10*(1+SETUP!$B$21))/SETUP!$B$14)</f>
        <v>377.82340862422996</v>
      </c>
      <c r="G29" s="17">
        <f>SUMIF(ONE_OFF_EVENTS!$A$5:$A$104,A29,ONE_OFF_EVENTS!$C$5:$C$104)</f>
        <v>0</v>
      </c>
      <c r="H29" s="17">
        <f t="shared" si="1"/>
        <v>-557.82340862422996</v>
      </c>
      <c r="I29" s="17">
        <f t="shared" si="3"/>
        <v>-3945.5852156057513</v>
      </c>
      <c r="J29" s="17">
        <f t="shared" si="2"/>
        <v>-4503.4086242299809</v>
      </c>
    </row>
    <row r="30" spans="1:10" x14ac:dyDescent="0.3">
      <c r="A30" s="16">
        <f>SETUP!$B$4+26</f>
        <v>46070</v>
      </c>
      <c r="B30" t="str">
        <f t="shared" si="0"/>
        <v>Tue</v>
      </c>
      <c r="C30" s="17">
        <f>SETUP!$B$5*(1+SETUP!$B$17)</f>
        <v>1500</v>
      </c>
      <c r="D30" s="17">
        <f>C30*(SETUP!$B$6+SETUP!$B$18)</f>
        <v>345</v>
      </c>
      <c r="E30" s="17">
        <f>C30*(SETUP!$B$7+SETUP!$B$22)</f>
        <v>525</v>
      </c>
      <c r="F30" s="17">
        <f>((SETUP!$B$8*(1+SETUP!$B$19)+SETUP!$B$9*(1+SETUP!$B$20)+SETUP!$B$10*(1+SETUP!$B$21))/SETUP!$B$14)</f>
        <v>377.82340862422996</v>
      </c>
      <c r="G30" s="17">
        <f>SUMIF(ONE_OFF_EVENTS!$A$5:$A$104,A30,ONE_OFF_EVENTS!$C$5:$C$104)</f>
        <v>0</v>
      </c>
      <c r="H30" s="17">
        <f t="shared" si="1"/>
        <v>-557.82340862422996</v>
      </c>
      <c r="I30" s="17">
        <f t="shared" si="3"/>
        <v>-4503.4086242299809</v>
      </c>
      <c r="J30" s="17">
        <f t="shared" si="2"/>
        <v>-5061.232032854211</v>
      </c>
    </row>
    <row r="31" spans="1:10" x14ac:dyDescent="0.3">
      <c r="A31" s="16">
        <f>SETUP!$B$4+27</f>
        <v>46071</v>
      </c>
      <c r="B31" t="str">
        <f t="shared" si="0"/>
        <v>Wed</v>
      </c>
      <c r="C31" s="17">
        <f>SETUP!$B$5*(1+SETUP!$B$17)</f>
        <v>1500</v>
      </c>
      <c r="D31" s="17">
        <f>C31*(SETUP!$B$6+SETUP!$B$18)</f>
        <v>345</v>
      </c>
      <c r="E31" s="17">
        <f>C31*(SETUP!$B$7+SETUP!$B$22)</f>
        <v>525</v>
      </c>
      <c r="F31" s="17">
        <f>((SETUP!$B$8*(1+SETUP!$B$19)+SETUP!$B$9*(1+SETUP!$B$20)+SETUP!$B$10*(1+SETUP!$B$21))/SETUP!$B$14)</f>
        <v>377.82340862422996</v>
      </c>
      <c r="G31" s="17">
        <f>SUMIF(ONE_OFF_EVENTS!$A$5:$A$104,A31,ONE_OFF_EVENTS!$C$5:$C$104)</f>
        <v>0</v>
      </c>
      <c r="H31" s="17">
        <f t="shared" si="1"/>
        <v>-557.82340862422996</v>
      </c>
      <c r="I31" s="17">
        <f t="shared" si="3"/>
        <v>-5061.232032854211</v>
      </c>
      <c r="J31" s="17">
        <f t="shared" si="2"/>
        <v>-5619.055441478441</v>
      </c>
    </row>
    <row r="32" spans="1:10" x14ac:dyDescent="0.3">
      <c r="A32" s="16">
        <f>SETUP!$B$4+28</f>
        <v>46072</v>
      </c>
      <c r="B32" t="str">
        <f t="shared" si="0"/>
        <v>Thu</v>
      </c>
      <c r="C32" s="17">
        <f>SETUP!$B$5*(1+SETUP!$B$17)</f>
        <v>1500</v>
      </c>
      <c r="D32" s="17">
        <f>C32*(SETUP!$B$6+SETUP!$B$18)</f>
        <v>345</v>
      </c>
      <c r="E32" s="17">
        <f>C32*(SETUP!$B$7+SETUP!$B$22)</f>
        <v>525</v>
      </c>
      <c r="F32" s="17">
        <f>((SETUP!$B$8*(1+SETUP!$B$19)+SETUP!$B$9*(1+SETUP!$B$20)+SETUP!$B$10*(1+SETUP!$B$21))/SETUP!$B$14)</f>
        <v>377.82340862422996</v>
      </c>
      <c r="G32" s="17">
        <f>SUMIF(ONE_OFF_EVENTS!$A$5:$A$104,A32,ONE_OFF_EVENTS!$C$5:$C$104)</f>
        <v>0</v>
      </c>
      <c r="H32" s="17">
        <f t="shared" si="1"/>
        <v>-557.82340862422996</v>
      </c>
      <c r="I32" s="17">
        <f t="shared" si="3"/>
        <v>-5619.055441478441</v>
      </c>
      <c r="J32" s="17">
        <f t="shared" si="2"/>
        <v>-6176.8788501026711</v>
      </c>
    </row>
    <row r="33" spans="1:10" x14ac:dyDescent="0.3">
      <c r="A33" s="16">
        <f>SETUP!$B$4+29</f>
        <v>46073</v>
      </c>
      <c r="B33" t="str">
        <f t="shared" si="0"/>
        <v>Fri</v>
      </c>
      <c r="C33" s="17">
        <f>SETUP!$B$5*(1+SETUP!$B$17)</f>
        <v>1500</v>
      </c>
      <c r="D33" s="17">
        <f>C33*(SETUP!$B$6+SETUP!$B$18)</f>
        <v>345</v>
      </c>
      <c r="E33" s="17">
        <f>C33*(SETUP!$B$7+SETUP!$B$22)</f>
        <v>525</v>
      </c>
      <c r="F33" s="17">
        <f>((SETUP!$B$8*(1+SETUP!$B$19)+SETUP!$B$9*(1+SETUP!$B$20)+SETUP!$B$10*(1+SETUP!$B$21))/SETUP!$B$14)</f>
        <v>377.82340862422996</v>
      </c>
      <c r="G33" s="17">
        <f>SUMIF(ONE_OFF_EVENTS!$A$5:$A$104,A33,ONE_OFF_EVENTS!$C$5:$C$104)</f>
        <v>0</v>
      </c>
      <c r="H33" s="17">
        <f t="shared" si="1"/>
        <v>-557.82340862422996</v>
      </c>
      <c r="I33" s="17">
        <f t="shared" si="3"/>
        <v>-6176.8788501026711</v>
      </c>
      <c r="J33" s="17">
        <f t="shared" si="2"/>
        <v>-6734.7022587269012</v>
      </c>
    </row>
    <row r="34" spans="1:10" x14ac:dyDescent="0.3">
      <c r="A34" s="16">
        <f>SETUP!$B$4+30</f>
        <v>46074</v>
      </c>
      <c r="B34" t="str">
        <f t="shared" si="0"/>
        <v>Sat</v>
      </c>
      <c r="C34" s="17">
        <f>SETUP!$B$5*(1+SETUP!$B$17)</f>
        <v>1500</v>
      </c>
      <c r="D34" s="17">
        <f>C34*(SETUP!$B$6+SETUP!$B$18)</f>
        <v>345</v>
      </c>
      <c r="E34" s="17">
        <f>C34*(SETUP!$B$7+SETUP!$B$22)</f>
        <v>525</v>
      </c>
      <c r="F34" s="17">
        <f>((SETUP!$B$8*(1+SETUP!$B$19)+SETUP!$B$9*(1+SETUP!$B$20)+SETUP!$B$10*(1+SETUP!$B$21))/SETUP!$B$14)</f>
        <v>377.82340862422996</v>
      </c>
      <c r="G34" s="17">
        <f>SUMIF(ONE_OFF_EVENTS!$A$5:$A$104,A34,ONE_OFF_EVENTS!$C$5:$C$104)</f>
        <v>0</v>
      </c>
      <c r="H34" s="17">
        <f t="shared" si="1"/>
        <v>-557.82340862422996</v>
      </c>
      <c r="I34" s="17">
        <f t="shared" si="3"/>
        <v>-6734.7022587269012</v>
      </c>
      <c r="J34" s="17">
        <f t="shared" si="2"/>
        <v>-7292.5256673511312</v>
      </c>
    </row>
    <row r="35" spans="1:10" x14ac:dyDescent="0.3">
      <c r="A35" s="16">
        <f>SETUP!$B$4+31</f>
        <v>46075</v>
      </c>
      <c r="B35" t="str">
        <f t="shared" si="0"/>
        <v>Sun</v>
      </c>
      <c r="C35" s="17">
        <f>SETUP!$B$5*(1+SETUP!$B$17)</f>
        <v>1500</v>
      </c>
      <c r="D35" s="17">
        <f>C35*(SETUP!$B$6+SETUP!$B$18)</f>
        <v>345</v>
      </c>
      <c r="E35" s="17">
        <f>C35*(SETUP!$B$7+SETUP!$B$22)</f>
        <v>525</v>
      </c>
      <c r="F35" s="17">
        <f>((SETUP!$B$8*(1+SETUP!$B$19)+SETUP!$B$9*(1+SETUP!$B$20)+SETUP!$B$10*(1+SETUP!$B$21))/SETUP!$B$14)</f>
        <v>377.82340862422996</v>
      </c>
      <c r="G35" s="17">
        <f>SUMIF(ONE_OFF_EVENTS!$A$5:$A$104,A35,ONE_OFF_EVENTS!$C$5:$C$104)</f>
        <v>0</v>
      </c>
      <c r="H35" s="17">
        <f t="shared" si="1"/>
        <v>-557.82340862422996</v>
      </c>
      <c r="I35" s="17">
        <f t="shared" si="3"/>
        <v>-7292.5256673511312</v>
      </c>
      <c r="J35" s="17">
        <f t="shared" si="2"/>
        <v>-7850.3490759753613</v>
      </c>
    </row>
    <row r="36" spans="1:10" x14ac:dyDescent="0.3">
      <c r="A36" s="16">
        <f>SETUP!$B$4+32</f>
        <v>46076</v>
      </c>
      <c r="B36" t="str">
        <f t="shared" ref="B36:B67" si="4">TEXT(A36,"ddd")</f>
        <v>Mon</v>
      </c>
      <c r="C36" s="17">
        <f>SETUP!$B$5*(1+SETUP!$B$17)</f>
        <v>1500</v>
      </c>
      <c r="D36" s="17">
        <f>C36*(SETUP!$B$6+SETUP!$B$18)</f>
        <v>345</v>
      </c>
      <c r="E36" s="17">
        <f>C36*(SETUP!$B$7+SETUP!$B$22)</f>
        <v>525</v>
      </c>
      <c r="F36" s="17">
        <f>((SETUP!$B$8*(1+SETUP!$B$19)+SETUP!$B$9*(1+SETUP!$B$20)+SETUP!$B$10*(1+SETUP!$B$21))/SETUP!$B$14)</f>
        <v>377.82340862422996</v>
      </c>
      <c r="G36" s="17">
        <f>SUMIF(ONE_OFF_EVENTS!$A$5:$A$104,A36,ONE_OFF_EVENTS!$C$5:$C$104)</f>
        <v>0</v>
      </c>
      <c r="H36" s="17">
        <f t="shared" ref="H36:H67" si="5">D36-E36-F36+G36</f>
        <v>-557.82340862422996</v>
      </c>
      <c r="I36" s="17">
        <f t="shared" si="3"/>
        <v>-7850.3490759753613</v>
      </c>
      <c r="J36" s="17">
        <f t="shared" ref="J36:J67" si="6">I36+H36</f>
        <v>-8408.1724845995905</v>
      </c>
    </row>
    <row r="37" spans="1:10" x14ac:dyDescent="0.3">
      <c r="A37" s="16">
        <f>SETUP!$B$4+33</f>
        <v>46077</v>
      </c>
      <c r="B37" t="str">
        <f t="shared" si="4"/>
        <v>Tue</v>
      </c>
      <c r="C37" s="17">
        <f>SETUP!$B$5*(1+SETUP!$B$17)</f>
        <v>1500</v>
      </c>
      <c r="D37" s="17">
        <f>C37*(SETUP!$B$6+SETUP!$B$18)</f>
        <v>345</v>
      </c>
      <c r="E37" s="17">
        <f>C37*(SETUP!$B$7+SETUP!$B$22)</f>
        <v>525</v>
      </c>
      <c r="F37" s="17">
        <f>((SETUP!$B$8*(1+SETUP!$B$19)+SETUP!$B$9*(1+SETUP!$B$20)+SETUP!$B$10*(1+SETUP!$B$21))/SETUP!$B$14)</f>
        <v>377.82340862422996</v>
      </c>
      <c r="G37" s="17">
        <f>SUMIF(ONE_OFF_EVENTS!$A$5:$A$104,A37,ONE_OFF_EVENTS!$C$5:$C$104)</f>
        <v>0</v>
      </c>
      <c r="H37" s="17">
        <f t="shared" si="5"/>
        <v>-557.82340862422996</v>
      </c>
      <c r="I37" s="17">
        <f t="shared" ref="I37:I68" si="7">J36</f>
        <v>-8408.1724845995905</v>
      </c>
      <c r="J37" s="17">
        <f t="shared" si="6"/>
        <v>-8965.9958932238205</v>
      </c>
    </row>
    <row r="38" spans="1:10" x14ac:dyDescent="0.3">
      <c r="A38" s="16">
        <f>SETUP!$B$4+34</f>
        <v>46078</v>
      </c>
      <c r="B38" t="str">
        <f t="shared" si="4"/>
        <v>Wed</v>
      </c>
      <c r="C38" s="17">
        <f>SETUP!$B$5*(1+SETUP!$B$17)</f>
        <v>1500</v>
      </c>
      <c r="D38" s="17">
        <f>C38*(SETUP!$B$6+SETUP!$B$18)</f>
        <v>345</v>
      </c>
      <c r="E38" s="17">
        <f>C38*(SETUP!$B$7+SETUP!$B$22)</f>
        <v>525</v>
      </c>
      <c r="F38" s="17">
        <f>((SETUP!$B$8*(1+SETUP!$B$19)+SETUP!$B$9*(1+SETUP!$B$20)+SETUP!$B$10*(1+SETUP!$B$21))/SETUP!$B$14)</f>
        <v>377.82340862422996</v>
      </c>
      <c r="G38" s="17">
        <f>SUMIF(ONE_OFF_EVENTS!$A$5:$A$104,A38,ONE_OFF_EVENTS!$C$5:$C$104)</f>
        <v>0</v>
      </c>
      <c r="H38" s="17">
        <f t="shared" si="5"/>
        <v>-557.82340862422996</v>
      </c>
      <c r="I38" s="17">
        <f t="shared" si="7"/>
        <v>-8965.9958932238205</v>
      </c>
      <c r="J38" s="17">
        <f t="shared" si="6"/>
        <v>-9523.8193018480506</v>
      </c>
    </row>
    <row r="39" spans="1:10" x14ac:dyDescent="0.3">
      <c r="A39" s="16">
        <f>SETUP!$B$4+35</f>
        <v>46079</v>
      </c>
      <c r="B39" t="str">
        <f t="shared" si="4"/>
        <v>Thu</v>
      </c>
      <c r="C39" s="17">
        <f>SETUP!$B$5*(1+SETUP!$B$17)</f>
        <v>1500</v>
      </c>
      <c r="D39" s="17">
        <f>C39*(SETUP!$B$6+SETUP!$B$18)</f>
        <v>345</v>
      </c>
      <c r="E39" s="17">
        <f>C39*(SETUP!$B$7+SETUP!$B$22)</f>
        <v>525</v>
      </c>
      <c r="F39" s="17">
        <f>((SETUP!$B$8*(1+SETUP!$B$19)+SETUP!$B$9*(1+SETUP!$B$20)+SETUP!$B$10*(1+SETUP!$B$21))/SETUP!$B$14)</f>
        <v>377.82340862422996</v>
      </c>
      <c r="G39" s="17">
        <f>SUMIF(ONE_OFF_EVENTS!$A$5:$A$104,A39,ONE_OFF_EVENTS!$C$5:$C$104)</f>
        <v>0</v>
      </c>
      <c r="H39" s="17">
        <f t="shared" si="5"/>
        <v>-557.82340862422996</v>
      </c>
      <c r="I39" s="17">
        <f t="shared" si="7"/>
        <v>-9523.8193018480506</v>
      </c>
      <c r="J39" s="17">
        <f t="shared" si="6"/>
        <v>-10081.642710472281</v>
      </c>
    </row>
    <row r="40" spans="1:10" x14ac:dyDescent="0.3">
      <c r="A40" s="16">
        <f>SETUP!$B$4+36</f>
        <v>46080</v>
      </c>
      <c r="B40" t="str">
        <f t="shared" si="4"/>
        <v>Fri</v>
      </c>
      <c r="C40" s="17">
        <f>SETUP!$B$5*(1+SETUP!$B$17)</f>
        <v>1500</v>
      </c>
      <c r="D40" s="17">
        <f>C40*(SETUP!$B$6+SETUP!$B$18)</f>
        <v>345</v>
      </c>
      <c r="E40" s="17">
        <f>C40*(SETUP!$B$7+SETUP!$B$22)</f>
        <v>525</v>
      </c>
      <c r="F40" s="17">
        <f>((SETUP!$B$8*(1+SETUP!$B$19)+SETUP!$B$9*(1+SETUP!$B$20)+SETUP!$B$10*(1+SETUP!$B$21))/SETUP!$B$14)</f>
        <v>377.82340862422996</v>
      </c>
      <c r="G40" s="17">
        <f>SUMIF(ONE_OFF_EVENTS!$A$5:$A$104,A40,ONE_OFF_EVENTS!$C$5:$C$104)</f>
        <v>0</v>
      </c>
      <c r="H40" s="17">
        <f t="shared" si="5"/>
        <v>-557.82340862422996</v>
      </c>
      <c r="I40" s="17">
        <f t="shared" si="7"/>
        <v>-10081.642710472281</v>
      </c>
      <c r="J40" s="17">
        <f t="shared" si="6"/>
        <v>-10639.466119096511</v>
      </c>
    </row>
    <row r="41" spans="1:10" x14ac:dyDescent="0.3">
      <c r="A41" s="16">
        <f>SETUP!$B$4+37</f>
        <v>46081</v>
      </c>
      <c r="B41" t="str">
        <f t="shared" si="4"/>
        <v>Sat</v>
      </c>
      <c r="C41" s="17">
        <f>SETUP!$B$5*(1+SETUP!$B$17)</f>
        <v>1500</v>
      </c>
      <c r="D41" s="17">
        <f>C41*(SETUP!$B$6+SETUP!$B$18)</f>
        <v>345</v>
      </c>
      <c r="E41" s="17">
        <f>C41*(SETUP!$B$7+SETUP!$B$22)</f>
        <v>525</v>
      </c>
      <c r="F41" s="17">
        <f>((SETUP!$B$8*(1+SETUP!$B$19)+SETUP!$B$9*(1+SETUP!$B$20)+SETUP!$B$10*(1+SETUP!$B$21))/SETUP!$B$14)</f>
        <v>377.82340862422996</v>
      </c>
      <c r="G41" s="17">
        <f>SUMIF(ONE_OFF_EVENTS!$A$5:$A$104,A41,ONE_OFF_EVENTS!$C$5:$C$104)</f>
        <v>0</v>
      </c>
      <c r="H41" s="17">
        <f t="shared" si="5"/>
        <v>-557.82340862422996</v>
      </c>
      <c r="I41" s="17">
        <f t="shared" si="7"/>
        <v>-10639.466119096511</v>
      </c>
      <c r="J41" s="17">
        <f t="shared" si="6"/>
        <v>-11197.289527720741</v>
      </c>
    </row>
    <row r="42" spans="1:10" x14ac:dyDescent="0.3">
      <c r="A42" s="16">
        <f>SETUP!$B$4+38</f>
        <v>46082</v>
      </c>
      <c r="B42" t="str">
        <f t="shared" si="4"/>
        <v>Sun</v>
      </c>
      <c r="C42" s="17">
        <f>SETUP!$B$5*(1+SETUP!$B$17)</f>
        <v>1500</v>
      </c>
      <c r="D42" s="17">
        <f>C42*(SETUP!$B$6+SETUP!$B$18)</f>
        <v>345</v>
      </c>
      <c r="E42" s="17">
        <f>C42*(SETUP!$B$7+SETUP!$B$22)</f>
        <v>525</v>
      </c>
      <c r="F42" s="17">
        <f>((SETUP!$B$8*(1+SETUP!$B$19)+SETUP!$B$9*(1+SETUP!$B$20)+SETUP!$B$10*(1+SETUP!$B$21))/SETUP!$B$14)</f>
        <v>377.82340862422996</v>
      </c>
      <c r="G42" s="17">
        <f>SUMIF(ONE_OFF_EVENTS!$A$5:$A$104,A42,ONE_OFF_EVENTS!$C$5:$C$104)</f>
        <v>0</v>
      </c>
      <c r="H42" s="17">
        <f t="shared" si="5"/>
        <v>-557.82340862422996</v>
      </c>
      <c r="I42" s="17">
        <f t="shared" si="7"/>
        <v>-11197.289527720741</v>
      </c>
      <c r="J42" s="17">
        <f t="shared" si="6"/>
        <v>-11755.112936344971</v>
      </c>
    </row>
    <row r="43" spans="1:10" x14ac:dyDescent="0.3">
      <c r="A43" s="16">
        <f>SETUP!$B$4+39</f>
        <v>46083</v>
      </c>
      <c r="B43" t="str">
        <f t="shared" si="4"/>
        <v>Mon</v>
      </c>
      <c r="C43" s="17">
        <f>SETUP!$B$5*(1+SETUP!$B$17)</f>
        <v>1500</v>
      </c>
      <c r="D43" s="17">
        <f>C43*(SETUP!$B$6+SETUP!$B$18)</f>
        <v>345</v>
      </c>
      <c r="E43" s="17">
        <f>C43*(SETUP!$B$7+SETUP!$B$22)</f>
        <v>525</v>
      </c>
      <c r="F43" s="17">
        <f>((SETUP!$B$8*(1+SETUP!$B$19)+SETUP!$B$9*(1+SETUP!$B$20)+SETUP!$B$10*(1+SETUP!$B$21))/SETUP!$B$14)</f>
        <v>377.82340862422996</v>
      </c>
      <c r="G43" s="17">
        <f>SUMIF(ONE_OFF_EVENTS!$A$5:$A$104,A43,ONE_OFF_EVENTS!$C$5:$C$104)</f>
        <v>0</v>
      </c>
      <c r="H43" s="17">
        <f t="shared" si="5"/>
        <v>-557.82340862422996</v>
      </c>
      <c r="I43" s="17">
        <f t="shared" si="7"/>
        <v>-11755.112936344971</v>
      </c>
      <c r="J43" s="17">
        <f t="shared" si="6"/>
        <v>-12312.936344969201</v>
      </c>
    </row>
    <row r="44" spans="1:10" x14ac:dyDescent="0.3">
      <c r="A44" s="16">
        <f>SETUP!$B$4+40</f>
        <v>46084</v>
      </c>
      <c r="B44" t="str">
        <f t="shared" si="4"/>
        <v>Tue</v>
      </c>
      <c r="C44" s="17">
        <f>SETUP!$B$5*(1+SETUP!$B$17)</f>
        <v>1500</v>
      </c>
      <c r="D44" s="17">
        <f>C44*(SETUP!$B$6+SETUP!$B$18)</f>
        <v>345</v>
      </c>
      <c r="E44" s="17">
        <f>C44*(SETUP!$B$7+SETUP!$B$22)</f>
        <v>525</v>
      </c>
      <c r="F44" s="17">
        <f>((SETUP!$B$8*(1+SETUP!$B$19)+SETUP!$B$9*(1+SETUP!$B$20)+SETUP!$B$10*(1+SETUP!$B$21))/SETUP!$B$14)</f>
        <v>377.82340862422996</v>
      </c>
      <c r="G44" s="17">
        <f>SUMIF(ONE_OFF_EVENTS!$A$5:$A$104,A44,ONE_OFF_EVENTS!$C$5:$C$104)</f>
        <v>0</v>
      </c>
      <c r="H44" s="17">
        <f t="shared" si="5"/>
        <v>-557.82340862422996</v>
      </c>
      <c r="I44" s="17">
        <f t="shared" si="7"/>
        <v>-12312.936344969201</v>
      </c>
      <c r="J44" s="17">
        <f t="shared" si="6"/>
        <v>-12870.759753593431</v>
      </c>
    </row>
    <row r="45" spans="1:10" x14ac:dyDescent="0.3">
      <c r="A45" s="16">
        <f>SETUP!$B$4+41</f>
        <v>46085</v>
      </c>
      <c r="B45" t="str">
        <f t="shared" si="4"/>
        <v>Wed</v>
      </c>
      <c r="C45" s="17">
        <f>SETUP!$B$5*(1+SETUP!$B$17)</f>
        <v>1500</v>
      </c>
      <c r="D45" s="17">
        <f>C45*(SETUP!$B$6+SETUP!$B$18)</f>
        <v>345</v>
      </c>
      <c r="E45" s="17">
        <f>C45*(SETUP!$B$7+SETUP!$B$22)</f>
        <v>525</v>
      </c>
      <c r="F45" s="17">
        <f>((SETUP!$B$8*(1+SETUP!$B$19)+SETUP!$B$9*(1+SETUP!$B$20)+SETUP!$B$10*(1+SETUP!$B$21))/SETUP!$B$14)</f>
        <v>377.82340862422996</v>
      </c>
      <c r="G45" s="17">
        <f>SUMIF(ONE_OFF_EVENTS!$A$5:$A$104,A45,ONE_OFF_EVENTS!$C$5:$C$104)</f>
        <v>0</v>
      </c>
      <c r="H45" s="17">
        <f t="shared" si="5"/>
        <v>-557.82340862422996</v>
      </c>
      <c r="I45" s="17">
        <f t="shared" si="7"/>
        <v>-12870.759753593431</v>
      </c>
      <c r="J45" s="17">
        <f t="shared" si="6"/>
        <v>-13428.583162217661</v>
      </c>
    </row>
    <row r="46" spans="1:10" x14ac:dyDescent="0.3">
      <c r="A46" s="16">
        <f>SETUP!$B$4+42</f>
        <v>46086</v>
      </c>
      <c r="B46" t="str">
        <f t="shared" si="4"/>
        <v>Thu</v>
      </c>
      <c r="C46" s="17">
        <f>SETUP!$B$5*(1+SETUP!$B$17)</f>
        <v>1500</v>
      </c>
      <c r="D46" s="17">
        <f>C46*(SETUP!$B$6+SETUP!$B$18)</f>
        <v>345</v>
      </c>
      <c r="E46" s="17">
        <f>C46*(SETUP!$B$7+SETUP!$B$22)</f>
        <v>525</v>
      </c>
      <c r="F46" s="17">
        <f>((SETUP!$B$8*(1+SETUP!$B$19)+SETUP!$B$9*(1+SETUP!$B$20)+SETUP!$B$10*(1+SETUP!$B$21))/SETUP!$B$14)</f>
        <v>377.82340862422996</v>
      </c>
      <c r="G46" s="17">
        <f>SUMIF(ONE_OFF_EVENTS!$A$5:$A$104,A46,ONE_OFF_EVENTS!$C$5:$C$104)</f>
        <v>0</v>
      </c>
      <c r="H46" s="17">
        <f t="shared" si="5"/>
        <v>-557.82340862422996</v>
      </c>
      <c r="I46" s="17">
        <f t="shared" si="7"/>
        <v>-13428.583162217661</v>
      </c>
      <c r="J46" s="17">
        <f t="shared" si="6"/>
        <v>-13986.406570841891</v>
      </c>
    </row>
    <row r="47" spans="1:10" x14ac:dyDescent="0.3">
      <c r="A47" s="16">
        <f>SETUP!$B$4+43</f>
        <v>46087</v>
      </c>
      <c r="B47" t="str">
        <f t="shared" si="4"/>
        <v>Fri</v>
      </c>
      <c r="C47" s="17">
        <f>SETUP!$B$5*(1+SETUP!$B$17)</f>
        <v>1500</v>
      </c>
      <c r="D47" s="17">
        <f>C47*(SETUP!$B$6+SETUP!$B$18)</f>
        <v>345</v>
      </c>
      <c r="E47" s="17">
        <f>C47*(SETUP!$B$7+SETUP!$B$22)</f>
        <v>525</v>
      </c>
      <c r="F47" s="17">
        <f>((SETUP!$B$8*(1+SETUP!$B$19)+SETUP!$B$9*(1+SETUP!$B$20)+SETUP!$B$10*(1+SETUP!$B$21))/SETUP!$B$14)</f>
        <v>377.82340862422996</v>
      </c>
      <c r="G47" s="17">
        <f>SUMIF(ONE_OFF_EVENTS!$A$5:$A$104,A47,ONE_OFF_EVENTS!$C$5:$C$104)</f>
        <v>0</v>
      </c>
      <c r="H47" s="17">
        <f t="shared" si="5"/>
        <v>-557.82340862422996</v>
      </c>
      <c r="I47" s="17">
        <f t="shared" si="7"/>
        <v>-13986.406570841891</v>
      </c>
      <c r="J47" s="17">
        <f t="shared" si="6"/>
        <v>-14544.229979466121</v>
      </c>
    </row>
    <row r="48" spans="1:10" x14ac:dyDescent="0.3">
      <c r="A48" s="16">
        <f>SETUP!$B$4+44</f>
        <v>46088</v>
      </c>
      <c r="B48" t="str">
        <f t="shared" si="4"/>
        <v>Sat</v>
      </c>
      <c r="C48" s="17">
        <f>SETUP!$B$5*(1+SETUP!$B$17)</f>
        <v>1500</v>
      </c>
      <c r="D48" s="17">
        <f>C48*(SETUP!$B$6+SETUP!$B$18)</f>
        <v>345</v>
      </c>
      <c r="E48" s="17">
        <f>C48*(SETUP!$B$7+SETUP!$B$22)</f>
        <v>525</v>
      </c>
      <c r="F48" s="17">
        <f>((SETUP!$B$8*(1+SETUP!$B$19)+SETUP!$B$9*(1+SETUP!$B$20)+SETUP!$B$10*(1+SETUP!$B$21))/SETUP!$B$14)</f>
        <v>377.82340862422996</v>
      </c>
      <c r="G48" s="17">
        <f>SUMIF(ONE_OFF_EVENTS!$A$5:$A$104,A48,ONE_OFF_EVENTS!$C$5:$C$104)</f>
        <v>0</v>
      </c>
      <c r="H48" s="17">
        <f t="shared" si="5"/>
        <v>-557.82340862422996</v>
      </c>
      <c r="I48" s="17">
        <f t="shared" si="7"/>
        <v>-14544.229979466121</v>
      </c>
      <c r="J48" s="17">
        <f t="shared" si="6"/>
        <v>-15102.053388090351</v>
      </c>
    </row>
    <row r="49" spans="1:10" x14ac:dyDescent="0.3">
      <c r="A49" s="16">
        <f>SETUP!$B$4+45</f>
        <v>46089</v>
      </c>
      <c r="B49" t="str">
        <f t="shared" si="4"/>
        <v>Sun</v>
      </c>
      <c r="C49" s="17">
        <f>SETUP!$B$5*(1+SETUP!$B$17)</f>
        <v>1500</v>
      </c>
      <c r="D49" s="17">
        <f>C49*(SETUP!$B$6+SETUP!$B$18)</f>
        <v>345</v>
      </c>
      <c r="E49" s="17">
        <f>C49*(SETUP!$B$7+SETUP!$B$22)</f>
        <v>525</v>
      </c>
      <c r="F49" s="17">
        <f>((SETUP!$B$8*(1+SETUP!$B$19)+SETUP!$B$9*(1+SETUP!$B$20)+SETUP!$B$10*(1+SETUP!$B$21))/SETUP!$B$14)</f>
        <v>377.82340862422996</v>
      </c>
      <c r="G49" s="17">
        <f>SUMIF(ONE_OFF_EVENTS!$A$5:$A$104,A49,ONE_OFF_EVENTS!$C$5:$C$104)</f>
        <v>0</v>
      </c>
      <c r="H49" s="17">
        <f t="shared" si="5"/>
        <v>-557.82340862422996</v>
      </c>
      <c r="I49" s="17">
        <f t="shared" si="7"/>
        <v>-15102.053388090351</v>
      </c>
      <c r="J49" s="17">
        <f t="shared" si="6"/>
        <v>-15659.876796714581</v>
      </c>
    </row>
    <row r="50" spans="1:10" x14ac:dyDescent="0.3">
      <c r="A50" s="16">
        <f>SETUP!$B$4+46</f>
        <v>46090</v>
      </c>
      <c r="B50" t="str">
        <f t="shared" si="4"/>
        <v>Mon</v>
      </c>
      <c r="C50" s="17">
        <f>SETUP!$B$5*(1+SETUP!$B$17)</f>
        <v>1500</v>
      </c>
      <c r="D50" s="17">
        <f>C50*(SETUP!$B$6+SETUP!$B$18)</f>
        <v>345</v>
      </c>
      <c r="E50" s="17">
        <f>C50*(SETUP!$B$7+SETUP!$B$22)</f>
        <v>525</v>
      </c>
      <c r="F50" s="17">
        <f>((SETUP!$B$8*(1+SETUP!$B$19)+SETUP!$B$9*(1+SETUP!$B$20)+SETUP!$B$10*(1+SETUP!$B$21))/SETUP!$B$14)</f>
        <v>377.82340862422996</v>
      </c>
      <c r="G50" s="17">
        <f>SUMIF(ONE_OFF_EVENTS!$A$5:$A$104,A50,ONE_OFF_EVENTS!$C$5:$C$104)</f>
        <v>0</v>
      </c>
      <c r="H50" s="17">
        <f t="shared" si="5"/>
        <v>-557.82340862422996</v>
      </c>
      <c r="I50" s="17">
        <f t="shared" si="7"/>
        <v>-15659.876796714581</v>
      </c>
      <c r="J50" s="17">
        <f t="shared" si="6"/>
        <v>-16217.700205338811</v>
      </c>
    </row>
    <row r="51" spans="1:10" x14ac:dyDescent="0.3">
      <c r="A51" s="16">
        <f>SETUP!$B$4+47</f>
        <v>46091</v>
      </c>
      <c r="B51" t="str">
        <f t="shared" si="4"/>
        <v>Tue</v>
      </c>
      <c r="C51" s="17">
        <f>SETUP!$B$5*(1+SETUP!$B$17)</f>
        <v>1500</v>
      </c>
      <c r="D51" s="17">
        <f>C51*(SETUP!$B$6+SETUP!$B$18)</f>
        <v>345</v>
      </c>
      <c r="E51" s="17">
        <f>C51*(SETUP!$B$7+SETUP!$B$22)</f>
        <v>525</v>
      </c>
      <c r="F51" s="17">
        <f>((SETUP!$B$8*(1+SETUP!$B$19)+SETUP!$B$9*(1+SETUP!$B$20)+SETUP!$B$10*(1+SETUP!$B$21))/SETUP!$B$14)</f>
        <v>377.82340862422996</v>
      </c>
      <c r="G51" s="17">
        <f>SUMIF(ONE_OFF_EVENTS!$A$5:$A$104,A51,ONE_OFF_EVENTS!$C$5:$C$104)</f>
        <v>0</v>
      </c>
      <c r="H51" s="17">
        <f t="shared" si="5"/>
        <v>-557.82340862422996</v>
      </c>
      <c r="I51" s="17">
        <f t="shared" si="7"/>
        <v>-16217.700205338811</v>
      </c>
      <c r="J51" s="17">
        <f t="shared" si="6"/>
        <v>-16775.52361396304</v>
      </c>
    </row>
    <row r="52" spans="1:10" x14ac:dyDescent="0.3">
      <c r="A52" s="16">
        <f>SETUP!$B$4+48</f>
        <v>46092</v>
      </c>
      <c r="B52" t="str">
        <f t="shared" si="4"/>
        <v>Wed</v>
      </c>
      <c r="C52" s="17">
        <f>SETUP!$B$5*(1+SETUP!$B$17)</f>
        <v>1500</v>
      </c>
      <c r="D52" s="17">
        <f>C52*(SETUP!$B$6+SETUP!$B$18)</f>
        <v>345</v>
      </c>
      <c r="E52" s="17">
        <f>C52*(SETUP!$B$7+SETUP!$B$22)</f>
        <v>525</v>
      </c>
      <c r="F52" s="17">
        <f>((SETUP!$B$8*(1+SETUP!$B$19)+SETUP!$B$9*(1+SETUP!$B$20)+SETUP!$B$10*(1+SETUP!$B$21))/SETUP!$B$14)</f>
        <v>377.82340862422996</v>
      </c>
      <c r="G52" s="17">
        <f>SUMIF(ONE_OFF_EVENTS!$A$5:$A$104,A52,ONE_OFF_EVENTS!$C$5:$C$104)</f>
        <v>0</v>
      </c>
      <c r="H52" s="17">
        <f t="shared" si="5"/>
        <v>-557.82340862422996</v>
      </c>
      <c r="I52" s="17">
        <f t="shared" si="7"/>
        <v>-16775.52361396304</v>
      </c>
      <c r="J52" s="17">
        <f t="shared" si="6"/>
        <v>-17333.34702258727</v>
      </c>
    </row>
    <row r="53" spans="1:10" x14ac:dyDescent="0.3">
      <c r="A53" s="16">
        <f>SETUP!$B$4+49</f>
        <v>46093</v>
      </c>
      <c r="B53" t="str">
        <f t="shared" si="4"/>
        <v>Thu</v>
      </c>
      <c r="C53" s="17">
        <f>SETUP!$B$5*(1+SETUP!$B$17)</f>
        <v>1500</v>
      </c>
      <c r="D53" s="17">
        <f>C53*(SETUP!$B$6+SETUP!$B$18)</f>
        <v>345</v>
      </c>
      <c r="E53" s="17">
        <f>C53*(SETUP!$B$7+SETUP!$B$22)</f>
        <v>525</v>
      </c>
      <c r="F53" s="17">
        <f>((SETUP!$B$8*(1+SETUP!$B$19)+SETUP!$B$9*(1+SETUP!$B$20)+SETUP!$B$10*(1+SETUP!$B$21))/SETUP!$B$14)</f>
        <v>377.82340862422996</v>
      </c>
      <c r="G53" s="17">
        <f>SUMIF(ONE_OFF_EVENTS!$A$5:$A$104,A53,ONE_OFF_EVENTS!$C$5:$C$104)</f>
        <v>0</v>
      </c>
      <c r="H53" s="17">
        <f t="shared" si="5"/>
        <v>-557.82340862422996</v>
      </c>
      <c r="I53" s="17">
        <f t="shared" si="7"/>
        <v>-17333.34702258727</v>
      </c>
      <c r="J53" s="17">
        <f t="shared" si="6"/>
        <v>-17891.1704312115</v>
      </c>
    </row>
    <row r="54" spans="1:10" x14ac:dyDescent="0.3">
      <c r="A54" s="16">
        <f>SETUP!$B$4+50</f>
        <v>46094</v>
      </c>
      <c r="B54" t="str">
        <f t="shared" si="4"/>
        <v>Fri</v>
      </c>
      <c r="C54" s="17">
        <f>SETUP!$B$5*(1+SETUP!$B$17)</f>
        <v>1500</v>
      </c>
      <c r="D54" s="17">
        <f>C54*(SETUP!$B$6+SETUP!$B$18)</f>
        <v>345</v>
      </c>
      <c r="E54" s="17">
        <f>C54*(SETUP!$B$7+SETUP!$B$22)</f>
        <v>525</v>
      </c>
      <c r="F54" s="17">
        <f>((SETUP!$B$8*(1+SETUP!$B$19)+SETUP!$B$9*(1+SETUP!$B$20)+SETUP!$B$10*(1+SETUP!$B$21))/SETUP!$B$14)</f>
        <v>377.82340862422996</v>
      </c>
      <c r="G54" s="17">
        <f>SUMIF(ONE_OFF_EVENTS!$A$5:$A$104,A54,ONE_OFF_EVENTS!$C$5:$C$104)</f>
        <v>0</v>
      </c>
      <c r="H54" s="17">
        <f t="shared" si="5"/>
        <v>-557.82340862422996</v>
      </c>
      <c r="I54" s="17">
        <f t="shared" si="7"/>
        <v>-17891.1704312115</v>
      </c>
      <c r="J54" s="17">
        <f t="shared" si="6"/>
        <v>-18448.99383983573</v>
      </c>
    </row>
    <row r="55" spans="1:10" x14ac:dyDescent="0.3">
      <c r="A55" s="16">
        <f>SETUP!$B$4+51</f>
        <v>46095</v>
      </c>
      <c r="B55" t="str">
        <f t="shared" si="4"/>
        <v>Sat</v>
      </c>
      <c r="C55" s="17">
        <f>SETUP!$B$5*(1+SETUP!$B$17)</f>
        <v>1500</v>
      </c>
      <c r="D55" s="17">
        <f>C55*(SETUP!$B$6+SETUP!$B$18)</f>
        <v>345</v>
      </c>
      <c r="E55" s="17">
        <f>C55*(SETUP!$B$7+SETUP!$B$22)</f>
        <v>525</v>
      </c>
      <c r="F55" s="17">
        <f>((SETUP!$B$8*(1+SETUP!$B$19)+SETUP!$B$9*(1+SETUP!$B$20)+SETUP!$B$10*(1+SETUP!$B$21))/SETUP!$B$14)</f>
        <v>377.82340862422996</v>
      </c>
      <c r="G55" s="17">
        <f>SUMIF(ONE_OFF_EVENTS!$A$5:$A$104,A55,ONE_OFF_EVENTS!$C$5:$C$104)</f>
        <v>0</v>
      </c>
      <c r="H55" s="17">
        <f t="shared" si="5"/>
        <v>-557.82340862422996</v>
      </c>
      <c r="I55" s="17">
        <f t="shared" si="7"/>
        <v>-18448.99383983573</v>
      </c>
      <c r="J55" s="17">
        <f t="shared" si="6"/>
        <v>-19006.81724845996</v>
      </c>
    </row>
    <row r="56" spans="1:10" x14ac:dyDescent="0.3">
      <c r="A56" s="16">
        <f>SETUP!$B$4+52</f>
        <v>46096</v>
      </c>
      <c r="B56" t="str">
        <f t="shared" si="4"/>
        <v>Sun</v>
      </c>
      <c r="C56" s="17">
        <f>SETUP!$B$5*(1+SETUP!$B$17)</f>
        <v>1500</v>
      </c>
      <c r="D56" s="17">
        <f>C56*(SETUP!$B$6+SETUP!$B$18)</f>
        <v>345</v>
      </c>
      <c r="E56" s="17">
        <f>C56*(SETUP!$B$7+SETUP!$B$22)</f>
        <v>525</v>
      </c>
      <c r="F56" s="17">
        <f>((SETUP!$B$8*(1+SETUP!$B$19)+SETUP!$B$9*(1+SETUP!$B$20)+SETUP!$B$10*(1+SETUP!$B$21))/SETUP!$B$14)</f>
        <v>377.82340862422996</v>
      </c>
      <c r="G56" s="17">
        <f>SUMIF(ONE_OFF_EVENTS!$A$5:$A$104,A56,ONE_OFF_EVENTS!$C$5:$C$104)</f>
        <v>0</v>
      </c>
      <c r="H56" s="17">
        <f t="shared" si="5"/>
        <v>-557.82340862422996</v>
      </c>
      <c r="I56" s="17">
        <f t="shared" si="7"/>
        <v>-19006.81724845996</v>
      </c>
      <c r="J56" s="17">
        <f t="shared" si="6"/>
        <v>-19564.64065708419</v>
      </c>
    </row>
    <row r="57" spans="1:10" x14ac:dyDescent="0.3">
      <c r="A57" s="16">
        <f>SETUP!$B$4+53</f>
        <v>46097</v>
      </c>
      <c r="B57" t="str">
        <f t="shared" si="4"/>
        <v>Mon</v>
      </c>
      <c r="C57" s="17">
        <f>SETUP!$B$5*(1+SETUP!$B$17)</f>
        <v>1500</v>
      </c>
      <c r="D57" s="17">
        <f>C57*(SETUP!$B$6+SETUP!$B$18)</f>
        <v>345</v>
      </c>
      <c r="E57" s="17">
        <f>C57*(SETUP!$B$7+SETUP!$B$22)</f>
        <v>525</v>
      </c>
      <c r="F57" s="17">
        <f>((SETUP!$B$8*(1+SETUP!$B$19)+SETUP!$B$9*(1+SETUP!$B$20)+SETUP!$B$10*(1+SETUP!$B$21))/SETUP!$B$14)</f>
        <v>377.82340862422996</v>
      </c>
      <c r="G57" s="17">
        <f>SUMIF(ONE_OFF_EVENTS!$A$5:$A$104,A57,ONE_OFF_EVENTS!$C$5:$C$104)</f>
        <v>0</v>
      </c>
      <c r="H57" s="17">
        <f t="shared" si="5"/>
        <v>-557.82340862422996</v>
      </c>
      <c r="I57" s="17">
        <f t="shared" si="7"/>
        <v>-19564.64065708419</v>
      </c>
      <c r="J57" s="17">
        <f t="shared" si="6"/>
        <v>-20122.46406570842</v>
      </c>
    </row>
    <row r="58" spans="1:10" x14ac:dyDescent="0.3">
      <c r="A58" s="16">
        <f>SETUP!$B$4+54</f>
        <v>46098</v>
      </c>
      <c r="B58" t="str">
        <f t="shared" si="4"/>
        <v>Tue</v>
      </c>
      <c r="C58" s="17">
        <f>SETUP!$B$5*(1+SETUP!$B$17)</f>
        <v>1500</v>
      </c>
      <c r="D58" s="17">
        <f>C58*(SETUP!$B$6+SETUP!$B$18)</f>
        <v>345</v>
      </c>
      <c r="E58" s="17">
        <f>C58*(SETUP!$B$7+SETUP!$B$22)</f>
        <v>525</v>
      </c>
      <c r="F58" s="17">
        <f>((SETUP!$B$8*(1+SETUP!$B$19)+SETUP!$B$9*(1+SETUP!$B$20)+SETUP!$B$10*(1+SETUP!$B$21))/SETUP!$B$14)</f>
        <v>377.82340862422996</v>
      </c>
      <c r="G58" s="17">
        <f>SUMIF(ONE_OFF_EVENTS!$A$5:$A$104,A58,ONE_OFF_EVENTS!$C$5:$C$104)</f>
        <v>0</v>
      </c>
      <c r="H58" s="17">
        <f t="shared" si="5"/>
        <v>-557.82340862422996</v>
      </c>
      <c r="I58" s="17">
        <f t="shared" si="7"/>
        <v>-20122.46406570842</v>
      </c>
      <c r="J58" s="17">
        <f t="shared" si="6"/>
        <v>-20680.28747433265</v>
      </c>
    </row>
    <row r="59" spans="1:10" x14ac:dyDescent="0.3">
      <c r="A59" s="16">
        <f>SETUP!$B$4+55</f>
        <v>46099</v>
      </c>
      <c r="B59" t="str">
        <f t="shared" si="4"/>
        <v>Wed</v>
      </c>
      <c r="C59" s="17">
        <f>SETUP!$B$5*(1+SETUP!$B$17)</f>
        <v>1500</v>
      </c>
      <c r="D59" s="17">
        <f>C59*(SETUP!$B$6+SETUP!$B$18)</f>
        <v>345</v>
      </c>
      <c r="E59" s="17">
        <f>C59*(SETUP!$B$7+SETUP!$B$22)</f>
        <v>525</v>
      </c>
      <c r="F59" s="17">
        <f>((SETUP!$B$8*(1+SETUP!$B$19)+SETUP!$B$9*(1+SETUP!$B$20)+SETUP!$B$10*(1+SETUP!$B$21))/SETUP!$B$14)</f>
        <v>377.82340862422996</v>
      </c>
      <c r="G59" s="17">
        <f>SUMIF(ONE_OFF_EVENTS!$A$5:$A$104,A59,ONE_OFF_EVENTS!$C$5:$C$104)</f>
        <v>0</v>
      </c>
      <c r="H59" s="17">
        <f t="shared" si="5"/>
        <v>-557.82340862422996</v>
      </c>
      <c r="I59" s="17">
        <f t="shared" si="7"/>
        <v>-20680.28747433265</v>
      </c>
      <c r="J59" s="17">
        <f t="shared" si="6"/>
        <v>-21238.11088295688</v>
      </c>
    </row>
    <row r="60" spans="1:10" x14ac:dyDescent="0.3">
      <c r="A60" s="16">
        <f>SETUP!$B$4+56</f>
        <v>46100</v>
      </c>
      <c r="B60" t="str">
        <f t="shared" si="4"/>
        <v>Thu</v>
      </c>
      <c r="C60" s="17">
        <f>SETUP!$B$5*(1+SETUP!$B$17)</f>
        <v>1500</v>
      </c>
      <c r="D60" s="17">
        <f>C60*(SETUP!$B$6+SETUP!$B$18)</f>
        <v>345</v>
      </c>
      <c r="E60" s="17">
        <f>C60*(SETUP!$B$7+SETUP!$B$22)</f>
        <v>525</v>
      </c>
      <c r="F60" s="17">
        <f>((SETUP!$B$8*(1+SETUP!$B$19)+SETUP!$B$9*(1+SETUP!$B$20)+SETUP!$B$10*(1+SETUP!$B$21))/SETUP!$B$14)</f>
        <v>377.82340862422996</v>
      </c>
      <c r="G60" s="17">
        <f>SUMIF(ONE_OFF_EVENTS!$A$5:$A$104,A60,ONE_OFF_EVENTS!$C$5:$C$104)</f>
        <v>0</v>
      </c>
      <c r="H60" s="17">
        <f t="shared" si="5"/>
        <v>-557.82340862422996</v>
      </c>
      <c r="I60" s="17">
        <f t="shared" si="7"/>
        <v>-21238.11088295688</v>
      </c>
      <c r="J60" s="17">
        <f t="shared" si="6"/>
        <v>-21795.93429158111</v>
      </c>
    </row>
    <row r="61" spans="1:10" x14ac:dyDescent="0.3">
      <c r="A61" s="16">
        <f>SETUP!$B$4+57</f>
        <v>46101</v>
      </c>
      <c r="B61" t="str">
        <f t="shared" si="4"/>
        <v>Fri</v>
      </c>
      <c r="C61" s="17">
        <f>SETUP!$B$5*(1+SETUP!$B$17)</f>
        <v>1500</v>
      </c>
      <c r="D61" s="17">
        <f>C61*(SETUP!$B$6+SETUP!$B$18)</f>
        <v>345</v>
      </c>
      <c r="E61" s="17">
        <f>C61*(SETUP!$B$7+SETUP!$B$22)</f>
        <v>525</v>
      </c>
      <c r="F61" s="17">
        <f>((SETUP!$B$8*(1+SETUP!$B$19)+SETUP!$B$9*(1+SETUP!$B$20)+SETUP!$B$10*(1+SETUP!$B$21))/SETUP!$B$14)</f>
        <v>377.82340862422996</v>
      </c>
      <c r="G61" s="17">
        <f>SUMIF(ONE_OFF_EVENTS!$A$5:$A$104,A61,ONE_OFF_EVENTS!$C$5:$C$104)</f>
        <v>0</v>
      </c>
      <c r="H61" s="17">
        <f t="shared" si="5"/>
        <v>-557.82340862422996</v>
      </c>
      <c r="I61" s="17">
        <f t="shared" si="7"/>
        <v>-21795.93429158111</v>
      </c>
      <c r="J61" s="17">
        <f t="shared" si="6"/>
        <v>-22353.75770020534</v>
      </c>
    </row>
    <row r="62" spans="1:10" x14ac:dyDescent="0.3">
      <c r="A62" s="16">
        <f>SETUP!$B$4+58</f>
        <v>46102</v>
      </c>
      <c r="B62" t="str">
        <f t="shared" si="4"/>
        <v>Sat</v>
      </c>
      <c r="C62" s="17">
        <f>SETUP!$B$5*(1+SETUP!$B$17)</f>
        <v>1500</v>
      </c>
      <c r="D62" s="17">
        <f>C62*(SETUP!$B$6+SETUP!$B$18)</f>
        <v>345</v>
      </c>
      <c r="E62" s="17">
        <f>C62*(SETUP!$B$7+SETUP!$B$22)</f>
        <v>525</v>
      </c>
      <c r="F62" s="17">
        <f>((SETUP!$B$8*(1+SETUP!$B$19)+SETUP!$B$9*(1+SETUP!$B$20)+SETUP!$B$10*(1+SETUP!$B$21))/SETUP!$B$14)</f>
        <v>377.82340862422996</v>
      </c>
      <c r="G62" s="17">
        <f>SUMIF(ONE_OFF_EVENTS!$A$5:$A$104,A62,ONE_OFF_EVENTS!$C$5:$C$104)</f>
        <v>0</v>
      </c>
      <c r="H62" s="17">
        <f t="shared" si="5"/>
        <v>-557.82340862422996</v>
      </c>
      <c r="I62" s="17">
        <f t="shared" si="7"/>
        <v>-22353.75770020534</v>
      </c>
      <c r="J62" s="17">
        <f t="shared" si="6"/>
        <v>-22911.58110882957</v>
      </c>
    </row>
    <row r="63" spans="1:10" x14ac:dyDescent="0.3">
      <c r="A63" s="16">
        <f>SETUP!$B$4+59</f>
        <v>46103</v>
      </c>
      <c r="B63" t="str">
        <f t="shared" si="4"/>
        <v>Sun</v>
      </c>
      <c r="C63" s="17">
        <f>SETUP!$B$5*(1+SETUP!$B$17)</f>
        <v>1500</v>
      </c>
      <c r="D63" s="17">
        <f>C63*(SETUP!$B$6+SETUP!$B$18)</f>
        <v>345</v>
      </c>
      <c r="E63" s="17">
        <f>C63*(SETUP!$B$7+SETUP!$B$22)</f>
        <v>525</v>
      </c>
      <c r="F63" s="17">
        <f>((SETUP!$B$8*(1+SETUP!$B$19)+SETUP!$B$9*(1+SETUP!$B$20)+SETUP!$B$10*(1+SETUP!$B$21))/SETUP!$B$14)</f>
        <v>377.82340862422996</v>
      </c>
      <c r="G63" s="17">
        <f>SUMIF(ONE_OFF_EVENTS!$A$5:$A$104,A63,ONE_OFF_EVENTS!$C$5:$C$104)</f>
        <v>0</v>
      </c>
      <c r="H63" s="17">
        <f t="shared" si="5"/>
        <v>-557.82340862422996</v>
      </c>
      <c r="I63" s="17">
        <f t="shared" si="7"/>
        <v>-22911.58110882957</v>
      </c>
      <c r="J63" s="17">
        <f t="shared" si="6"/>
        <v>-23469.404517453801</v>
      </c>
    </row>
    <row r="64" spans="1:10" x14ac:dyDescent="0.3">
      <c r="A64" s="16">
        <f>SETUP!$B$4+60</f>
        <v>46104</v>
      </c>
      <c r="B64" t="str">
        <f t="shared" si="4"/>
        <v>Mon</v>
      </c>
      <c r="C64" s="17">
        <f>SETUP!$B$5*(1+SETUP!$B$17)</f>
        <v>1500</v>
      </c>
      <c r="D64" s="17">
        <f>C64*(SETUP!$B$6+SETUP!$B$18)</f>
        <v>345</v>
      </c>
      <c r="E64" s="17">
        <f>C64*(SETUP!$B$7+SETUP!$B$22)</f>
        <v>525</v>
      </c>
      <c r="F64" s="17">
        <f>((SETUP!$B$8*(1+SETUP!$B$19)+SETUP!$B$9*(1+SETUP!$B$20)+SETUP!$B$10*(1+SETUP!$B$21))/SETUP!$B$14)</f>
        <v>377.82340862422996</v>
      </c>
      <c r="G64" s="17">
        <f>SUMIF(ONE_OFF_EVENTS!$A$5:$A$104,A64,ONE_OFF_EVENTS!$C$5:$C$104)</f>
        <v>0</v>
      </c>
      <c r="H64" s="17">
        <f t="shared" si="5"/>
        <v>-557.82340862422996</v>
      </c>
      <c r="I64" s="17">
        <f t="shared" si="7"/>
        <v>-23469.404517453801</v>
      </c>
      <c r="J64" s="17">
        <f t="shared" si="6"/>
        <v>-24027.227926078031</v>
      </c>
    </row>
    <row r="65" spans="1:10" x14ac:dyDescent="0.3">
      <c r="A65" s="16">
        <f>SETUP!$B$4+61</f>
        <v>46105</v>
      </c>
      <c r="B65" t="str">
        <f t="shared" si="4"/>
        <v>Tue</v>
      </c>
      <c r="C65" s="17">
        <f>SETUP!$B$5*(1+SETUP!$B$17)</f>
        <v>1500</v>
      </c>
      <c r="D65" s="17">
        <f>C65*(SETUP!$B$6+SETUP!$B$18)</f>
        <v>345</v>
      </c>
      <c r="E65" s="17">
        <f>C65*(SETUP!$B$7+SETUP!$B$22)</f>
        <v>525</v>
      </c>
      <c r="F65" s="17">
        <f>((SETUP!$B$8*(1+SETUP!$B$19)+SETUP!$B$9*(1+SETUP!$B$20)+SETUP!$B$10*(1+SETUP!$B$21))/SETUP!$B$14)</f>
        <v>377.82340862422996</v>
      </c>
      <c r="G65" s="17">
        <f>SUMIF(ONE_OFF_EVENTS!$A$5:$A$104,A65,ONE_OFF_EVENTS!$C$5:$C$104)</f>
        <v>0</v>
      </c>
      <c r="H65" s="17">
        <f t="shared" si="5"/>
        <v>-557.82340862422996</v>
      </c>
      <c r="I65" s="17">
        <f t="shared" si="7"/>
        <v>-24027.227926078031</v>
      </c>
      <c r="J65" s="17">
        <f t="shared" si="6"/>
        <v>-24585.051334702261</v>
      </c>
    </row>
    <row r="66" spans="1:10" x14ac:dyDescent="0.3">
      <c r="A66" s="16">
        <f>SETUP!$B$4+62</f>
        <v>46106</v>
      </c>
      <c r="B66" t="str">
        <f t="shared" si="4"/>
        <v>Wed</v>
      </c>
      <c r="C66" s="17">
        <f>SETUP!$B$5*(1+SETUP!$B$17)</f>
        <v>1500</v>
      </c>
      <c r="D66" s="17">
        <f>C66*(SETUP!$B$6+SETUP!$B$18)</f>
        <v>345</v>
      </c>
      <c r="E66" s="17">
        <f>C66*(SETUP!$B$7+SETUP!$B$22)</f>
        <v>525</v>
      </c>
      <c r="F66" s="17">
        <f>((SETUP!$B$8*(1+SETUP!$B$19)+SETUP!$B$9*(1+SETUP!$B$20)+SETUP!$B$10*(1+SETUP!$B$21))/SETUP!$B$14)</f>
        <v>377.82340862422996</v>
      </c>
      <c r="G66" s="17">
        <f>SUMIF(ONE_OFF_EVENTS!$A$5:$A$104,A66,ONE_OFF_EVENTS!$C$5:$C$104)</f>
        <v>0</v>
      </c>
      <c r="H66" s="17">
        <f t="shared" si="5"/>
        <v>-557.82340862422996</v>
      </c>
      <c r="I66" s="17">
        <f t="shared" si="7"/>
        <v>-24585.051334702261</v>
      </c>
      <c r="J66" s="17">
        <f t="shared" si="6"/>
        <v>-25142.874743326491</v>
      </c>
    </row>
    <row r="67" spans="1:10" x14ac:dyDescent="0.3">
      <c r="A67" s="16">
        <f>SETUP!$B$4+63</f>
        <v>46107</v>
      </c>
      <c r="B67" t="str">
        <f t="shared" si="4"/>
        <v>Thu</v>
      </c>
      <c r="C67" s="17">
        <f>SETUP!$B$5*(1+SETUP!$B$17)</f>
        <v>1500</v>
      </c>
      <c r="D67" s="17">
        <f>C67*(SETUP!$B$6+SETUP!$B$18)</f>
        <v>345</v>
      </c>
      <c r="E67" s="17">
        <f>C67*(SETUP!$B$7+SETUP!$B$22)</f>
        <v>525</v>
      </c>
      <c r="F67" s="17">
        <f>((SETUP!$B$8*(1+SETUP!$B$19)+SETUP!$B$9*(1+SETUP!$B$20)+SETUP!$B$10*(1+SETUP!$B$21))/SETUP!$B$14)</f>
        <v>377.82340862422996</v>
      </c>
      <c r="G67" s="17">
        <f>SUMIF(ONE_OFF_EVENTS!$A$5:$A$104,A67,ONE_OFF_EVENTS!$C$5:$C$104)</f>
        <v>0</v>
      </c>
      <c r="H67" s="17">
        <f t="shared" si="5"/>
        <v>-557.82340862422996</v>
      </c>
      <c r="I67" s="17">
        <f t="shared" si="7"/>
        <v>-25142.874743326491</v>
      </c>
      <c r="J67" s="17">
        <f t="shared" si="6"/>
        <v>-25700.698151950721</v>
      </c>
    </row>
    <row r="68" spans="1:10" x14ac:dyDescent="0.3">
      <c r="A68" s="16">
        <f>SETUP!$B$4+64</f>
        <v>46108</v>
      </c>
      <c r="B68" t="str">
        <f t="shared" ref="B68:B99" si="8">TEXT(A68,"ddd")</f>
        <v>Fri</v>
      </c>
      <c r="C68" s="17">
        <f>SETUP!$B$5*(1+SETUP!$B$17)</f>
        <v>1500</v>
      </c>
      <c r="D68" s="17">
        <f>C68*(SETUP!$B$6+SETUP!$B$18)</f>
        <v>345</v>
      </c>
      <c r="E68" s="17">
        <f>C68*(SETUP!$B$7+SETUP!$B$22)</f>
        <v>525</v>
      </c>
      <c r="F68" s="17">
        <f>((SETUP!$B$8*(1+SETUP!$B$19)+SETUP!$B$9*(1+SETUP!$B$20)+SETUP!$B$10*(1+SETUP!$B$21))/SETUP!$B$14)</f>
        <v>377.82340862422996</v>
      </c>
      <c r="G68" s="17">
        <f>SUMIF(ONE_OFF_EVENTS!$A$5:$A$104,A68,ONE_OFF_EVENTS!$C$5:$C$104)</f>
        <v>0</v>
      </c>
      <c r="H68" s="17">
        <f t="shared" ref="H68:H99" si="9">D68-E68-F68+G68</f>
        <v>-557.82340862422996</v>
      </c>
      <c r="I68" s="17">
        <f t="shared" si="7"/>
        <v>-25700.698151950721</v>
      </c>
      <c r="J68" s="17">
        <f t="shared" ref="J68:J99" si="10">I68+H68</f>
        <v>-26258.521560574951</v>
      </c>
    </row>
    <row r="69" spans="1:10" x14ac:dyDescent="0.3">
      <c r="A69" s="16">
        <f>SETUP!$B$4+65</f>
        <v>46109</v>
      </c>
      <c r="B69" t="str">
        <f t="shared" si="8"/>
        <v>Sat</v>
      </c>
      <c r="C69" s="17">
        <f>SETUP!$B$5*(1+SETUP!$B$17)</f>
        <v>1500</v>
      </c>
      <c r="D69" s="17">
        <f>C69*(SETUP!$B$6+SETUP!$B$18)</f>
        <v>345</v>
      </c>
      <c r="E69" s="17">
        <f>C69*(SETUP!$B$7+SETUP!$B$22)</f>
        <v>525</v>
      </c>
      <c r="F69" s="17">
        <f>((SETUP!$B$8*(1+SETUP!$B$19)+SETUP!$B$9*(1+SETUP!$B$20)+SETUP!$B$10*(1+SETUP!$B$21))/SETUP!$B$14)</f>
        <v>377.82340862422996</v>
      </c>
      <c r="G69" s="17">
        <f>SUMIF(ONE_OFF_EVENTS!$A$5:$A$104,A69,ONE_OFF_EVENTS!$C$5:$C$104)</f>
        <v>0</v>
      </c>
      <c r="H69" s="17">
        <f t="shared" si="9"/>
        <v>-557.82340862422996</v>
      </c>
      <c r="I69" s="17">
        <f t="shared" ref="I69:I93" si="11">J68</f>
        <v>-26258.521560574951</v>
      </c>
      <c r="J69" s="17">
        <f t="shared" si="10"/>
        <v>-26816.344969199181</v>
      </c>
    </row>
    <row r="70" spans="1:10" x14ac:dyDescent="0.3">
      <c r="A70" s="16">
        <f>SETUP!$B$4+66</f>
        <v>46110</v>
      </c>
      <c r="B70" t="str">
        <f t="shared" si="8"/>
        <v>Sun</v>
      </c>
      <c r="C70" s="17">
        <f>SETUP!$B$5*(1+SETUP!$B$17)</f>
        <v>1500</v>
      </c>
      <c r="D70" s="17">
        <f>C70*(SETUP!$B$6+SETUP!$B$18)</f>
        <v>345</v>
      </c>
      <c r="E70" s="17">
        <f>C70*(SETUP!$B$7+SETUP!$B$22)</f>
        <v>525</v>
      </c>
      <c r="F70" s="17">
        <f>((SETUP!$B$8*(1+SETUP!$B$19)+SETUP!$B$9*(1+SETUP!$B$20)+SETUP!$B$10*(1+SETUP!$B$21))/SETUP!$B$14)</f>
        <v>377.82340862422996</v>
      </c>
      <c r="G70" s="17">
        <f>SUMIF(ONE_OFF_EVENTS!$A$5:$A$104,A70,ONE_OFF_EVENTS!$C$5:$C$104)</f>
        <v>0</v>
      </c>
      <c r="H70" s="17">
        <f t="shared" si="9"/>
        <v>-557.82340862422996</v>
      </c>
      <c r="I70" s="17">
        <f t="shared" si="11"/>
        <v>-26816.344969199181</v>
      </c>
      <c r="J70" s="17">
        <f t="shared" si="10"/>
        <v>-27374.168377823411</v>
      </c>
    </row>
    <row r="71" spans="1:10" x14ac:dyDescent="0.3">
      <c r="A71" s="16">
        <f>SETUP!$B$4+67</f>
        <v>46111</v>
      </c>
      <c r="B71" t="str">
        <f t="shared" si="8"/>
        <v>Mon</v>
      </c>
      <c r="C71" s="17">
        <f>SETUP!$B$5*(1+SETUP!$B$17)</f>
        <v>1500</v>
      </c>
      <c r="D71" s="17">
        <f>C71*(SETUP!$B$6+SETUP!$B$18)</f>
        <v>345</v>
      </c>
      <c r="E71" s="17">
        <f>C71*(SETUP!$B$7+SETUP!$B$22)</f>
        <v>525</v>
      </c>
      <c r="F71" s="17">
        <f>((SETUP!$B$8*(1+SETUP!$B$19)+SETUP!$B$9*(1+SETUP!$B$20)+SETUP!$B$10*(1+SETUP!$B$21))/SETUP!$B$14)</f>
        <v>377.82340862422996</v>
      </c>
      <c r="G71" s="17">
        <f>SUMIF(ONE_OFF_EVENTS!$A$5:$A$104,A71,ONE_OFF_EVENTS!$C$5:$C$104)</f>
        <v>0</v>
      </c>
      <c r="H71" s="17">
        <f t="shared" si="9"/>
        <v>-557.82340862422996</v>
      </c>
      <c r="I71" s="17">
        <f t="shared" si="11"/>
        <v>-27374.168377823411</v>
      </c>
      <c r="J71" s="17">
        <f t="shared" si="10"/>
        <v>-27931.991786447641</v>
      </c>
    </row>
    <row r="72" spans="1:10" x14ac:dyDescent="0.3">
      <c r="A72" s="16">
        <f>SETUP!$B$4+68</f>
        <v>46112</v>
      </c>
      <c r="B72" t="str">
        <f t="shared" si="8"/>
        <v>Tue</v>
      </c>
      <c r="C72" s="17">
        <f>SETUP!$B$5*(1+SETUP!$B$17)</f>
        <v>1500</v>
      </c>
      <c r="D72" s="17">
        <f>C72*(SETUP!$B$6+SETUP!$B$18)</f>
        <v>345</v>
      </c>
      <c r="E72" s="17">
        <f>C72*(SETUP!$B$7+SETUP!$B$22)</f>
        <v>525</v>
      </c>
      <c r="F72" s="17">
        <f>((SETUP!$B$8*(1+SETUP!$B$19)+SETUP!$B$9*(1+SETUP!$B$20)+SETUP!$B$10*(1+SETUP!$B$21))/SETUP!$B$14)</f>
        <v>377.82340862422996</v>
      </c>
      <c r="G72" s="17">
        <f>SUMIF(ONE_OFF_EVENTS!$A$5:$A$104,A72,ONE_OFF_EVENTS!$C$5:$C$104)</f>
        <v>0</v>
      </c>
      <c r="H72" s="17">
        <f t="shared" si="9"/>
        <v>-557.82340862422996</v>
      </c>
      <c r="I72" s="17">
        <f t="shared" si="11"/>
        <v>-27931.991786447641</v>
      </c>
      <c r="J72" s="17">
        <f t="shared" si="10"/>
        <v>-28489.815195071871</v>
      </c>
    </row>
    <row r="73" spans="1:10" x14ac:dyDescent="0.3">
      <c r="A73" s="16">
        <f>SETUP!$B$4+69</f>
        <v>46113</v>
      </c>
      <c r="B73" t="str">
        <f t="shared" si="8"/>
        <v>Wed</v>
      </c>
      <c r="C73" s="17">
        <f>SETUP!$B$5*(1+SETUP!$B$17)</f>
        <v>1500</v>
      </c>
      <c r="D73" s="17">
        <f>C73*(SETUP!$B$6+SETUP!$B$18)</f>
        <v>345</v>
      </c>
      <c r="E73" s="17">
        <f>C73*(SETUP!$B$7+SETUP!$B$22)</f>
        <v>525</v>
      </c>
      <c r="F73" s="17">
        <f>((SETUP!$B$8*(1+SETUP!$B$19)+SETUP!$B$9*(1+SETUP!$B$20)+SETUP!$B$10*(1+SETUP!$B$21))/SETUP!$B$14)</f>
        <v>377.82340862422996</v>
      </c>
      <c r="G73" s="17">
        <f>SUMIF(ONE_OFF_EVENTS!$A$5:$A$104,A73,ONE_OFF_EVENTS!$C$5:$C$104)</f>
        <v>0</v>
      </c>
      <c r="H73" s="17">
        <f t="shared" si="9"/>
        <v>-557.82340862422996</v>
      </c>
      <c r="I73" s="17">
        <f t="shared" si="11"/>
        <v>-28489.815195071871</v>
      </c>
      <c r="J73" s="17">
        <f t="shared" si="10"/>
        <v>-29047.638603696101</v>
      </c>
    </row>
    <row r="74" spans="1:10" x14ac:dyDescent="0.3">
      <c r="A74" s="16">
        <f>SETUP!$B$4+70</f>
        <v>46114</v>
      </c>
      <c r="B74" t="str">
        <f t="shared" si="8"/>
        <v>Thu</v>
      </c>
      <c r="C74" s="17">
        <f>SETUP!$B$5*(1+SETUP!$B$17)</f>
        <v>1500</v>
      </c>
      <c r="D74" s="17">
        <f>C74*(SETUP!$B$6+SETUP!$B$18)</f>
        <v>345</v>
      </c>
      <c r="E74" s="17">
        <f>C74*(SETUP!$B$7+SETUP!$B$22)</f>
        <v>525</v>
      </c>
      <c r="F74" s="17">
        <f>((SETUP!$B$8*(1+SETUP!$B$19)+SETUP!$B$9*(1+SETUP!$B$20)+SETUP!$B$10*(1+SETUP!$B$21))/SETUP!$B$14)</f>
        <v>377.82340862422996</v>
      </c>
      <c r="G74" s="17">
        <f>SUMIF(ONE_OFF_EVENTS!$A$5:$A$104,A74,ONE_OFF_EVENTS!$C$5:$C$104)</f>
        <v>0</v>
      </c>
      <c r="H74" s="17">
        <f t="shared" si="9"/>
        <v>-557.82340862422996</v>
      </c>
      <c r="I74" s="17">
        <f t="shared" si="11"/>
        <v>-29047.638603696101</v>
      </c>
      <c r="J74" s="17">
        <f t="shared" si="10"/>
        <v>-29605.462012320331</v>
      </c>
    </row>
    <row r="75" spans="1:10" x14ac:dyDescent="0.3">
      <c r="A75" s="16">
        <f>SETUP!$B$4+71</f>
        <v>46115</v>
      </c>
      <c r="B75" t="str">
        <f t="shared" si="8"/>
        <v>Fri</v>
      </c>
      <c r="C75" s="17">
        <f>SETUP!$B$5*(1+SETUP!$B$17)</f>
        <v>1500</v>
      </c>
      <c r="D75" s="17">
        <f>C75*(SETUP!$B$6+SETUP!$B$18)</f>
        <v>345</v>
      </c>
      <c r="E75" s="17">
        <f>C75*(SETUP!$B$7+SETUP!$B$22)</f>
        <v>525</v>
      </c>
      <c r="F75" s="17">
        <f>((SETUP!$B$8*(1+SETUP!$B$19)+SETUP!$B$9*(1+SETUP!$B$20)+SETUP!$B$10*(1+SETUP!$B$21))/SETUP!$B$14)</f>
        <v>377.82340862422996</v>
      </c>
      <c r="G75" s="17">
        <f>SUMIF(ONE_OFF_EVENTS!$A$5:$A$104,A75,ONE_OFF_EVENTS!$C$5:$C$104)</f>
        <v>0</v>
      </c>
      <c r="H75" s="17">
        <f t="shared" si="9"/>
        <v>-557.82340862422996</v>
      </c>
      <c r="I75" s="17">
        <f t="shared" si="11"/>
        <v>-29605.462012320331</v>
      </c>
      <c r="J75" s="17">
        <f t="shared" si="10"/>
        <v>-30163.285420944561</v>
      </c>
    </row>
    <row r="76" spans="1:10" x14ac:dyDescent="0.3">
      <c r="A76" s="16">
        <f>SETUP!$B$4+72</f>
        <v>46116</v>
      </c>
      <c r="B76" t="str">
        <f t="shared" si="8"/>
        <v>Sat</v>
      </c>
      <c r="C76" s="17">
        <f>SETUP!$B$5*(1+SETUP!$B$17)</f>
        <v>1500</v>
      </c>
      <c r="D76" s="17">
        <f>C76*(SETUP!$B$6+SETUP!$B$18)</f>
        <v>345</v>
      </c>
      <c r="E76" s="17">
        <f>C76*(SETUP!$B$7+SETUP!$B$22)</f>
        <v>525</v>
      </c>
      <c r="F76" s="17">
        <f>((SETUP!$B$8*(1+SETUP!$B$19)+SETUP!$B$9*(1+SETUP!$B$20)+SETUP!$B$10*(1+SETUP!$B$21))/SETUP!$B$14)</f>
        <v>377.82340862422996</v>
      </c>
      <c r="G76" s="17">
        <f>SUMIF(ONE_OFF_EVENTS!$A$5:$A$104,A76,ONE_OFF_EVENTS!$C$5:$C$104)</f>
        <v>0</v>
      </c>
      <c r="H76" s="17">
        <f t="shared" si="9"/>
        <v>-557.82340862422996</v>
      </c>
      <c r="I76" s="17">
        <f t="shared" si="11"/>
        <v>-30163.285420944561</v>
      </c>
      <c r="J76" s="17">
        <f t="shared" si="10"/>
        <v>-30721.108829568791</v>
      </c>
    </row>
    <row r="77" spans="1:10" x14ac:dyDescent="0.3">
      <c r="A77" s="16">
        <f>SETUP!$B$4+73</f>
        <v>46117</v>
      </c>
      <c r="B77" t="str">
        <f t="shared" si="8"/>
        <v>Sun</v>
      </c>
      <c r="C77" s="17">
        <f>SETUP!$B$5*(1+SETUP!$B$17)</f>
        <v>1500</v>
      </c>
      <c r="D77" s="17">
        <f>C77*(SETUP!$B$6+SETUP!$B$18)</f>
        <v>345</v>
      </c>
      <c r="E77" s="17">
        <f>C77*(SETUP!$B$7+SETUP!$B$22)</f>
        <v>525</v>
      </c>
      <c r="F77" s="17">
        <f>((SETUP!$B$8*(1+SETUP!$B$19)+SETUP!$B$9*(1+SETUP!$B$20)+SETUP!$B$10*(1+SETUP!$B$21))/SETUP!$B$14)</f>
        <v>377.82340862422996</v>
      </c>
      <c r="G77" s="17">
        <f>SUMIF(ONE_OFF_EVENTS!$A$5:$A$104,A77,ONE_OFF_EVENTS!$C$5:$C$104)</f>
        <v>0</v>
      </c>
      <c r="H77" s="17">
        <f t="shared" si="9"/>
        <v>-557.82340862422996</v>
      </c>
      <c r="I77" s="17">
        <f t="shared" si="11"/>
        <v>-30721.108829568791</v>
      </c>
      <c r="J77" s="17">
        <f t="shared" si="10"/>
        <v>-31278.932238193021</v>
      </c>
    </row>
    <row r="78" spans="1:10" x14ac:dyDescent="0.3">
      <c r="A78" s="16">
        <f>SETUP!$B$4+74</f>
        <v>46118</v>
      </c>
      <c r="B78" t="str">
        <f t="shared" si="8"/>
        <v>Mon</v>
      </c>
      <c r="C78" s="17">
        <f>SETUP!$B$5*(1+SETUP!$B$17)</f>
        <v>1500</v>
      </c>
      <c r="D78" s="17">
        <f>C78*(SETUP!$B$6+SETUP!$B$18)</f>
        <v>345</v>
      </c>
      <c r="E78" s="17">
        <f>C78*(SETUP!$B$7+SETUP!$B$22)</f>
        <v>525</v>
      </c>
      <c r="F78" s="17">
        <f>((SETUP!$B$8*(1+SETUP!$B$19)+SETUP!$B$9*(1+SETUP!$B$20)+SETUP!$B$10*(1+SETUP!$B$21))/SETUP!$B$14)</f>
        <v>377.82340862422996</v>
      </c>
      <c r="G78" s="17">
        <f>SUMIF(ONE_OFF_EVENTS!$A$5:$A$104,A78,ONE_OFF_EVENTS!$C$5:$C$104)</f>
        <v>0</v>
      </c>
      <c r="H78" s="17">
        <f t="shared" si="9"/>
        <v>-557.82340862422996</v>
      </c>
      <c r="I78" s="17">
        <f t="shared" si="11"/>
        <v>-31278.932238193021</v>
      </c>
      <c r="J78" s="17">
        <f t="shared" si="10"/>
        <v>-31836.755646817252</v>
      </c>
    </row>
    <row r="79" spans="1:10" x14ac:dyDescent="0.3">
      <c r="A79" s="16">
        <f>SETUP!$B$4+75</f>
        <v>46119</v>
      </c>
      <c r="B79" t="str">
        <f t="shared" si="8"/>
        <v>Tue</v>
      </c>
      <c r="C79" s="17">
        <f>SETUP!$B$5*(1+SETUP!$B$17)</f>
        <v>1500</v>
      </c>
      <c r="D79" s="17">
        <f>C79*(SETUP!$B$6+SETUP!$B$18)</f>
        <v>345</v>
      </c>
      <c r="E79" s="17">
        <f>C79*(SETUP!$B$7+SETUP!$B$22)</f>
        <v>525</v>
      </c>
      <c r="F79" s="17">
        <f>((SETUP!$B$8*(1+SETUP!$B$19)+SETUP!$B$9*(1+SETUP!$B$20)+SETUP!$B$10*(1+SETUP!$B$21))/SETUP!$B$14)</f>
        <v>377.82340862422996</v>
      </c>
      <c r="G79" s="17">
        <f>SUMIF(ONE_OFF_EVENTS!$A$5:$A$104,A79,ONE_OFF_EVENTS!$C$5:$C$104)</f>
        <v>0</v>
      </c>
      <c r="H79" s="17">
        <f t="shared" si="9"/>
        <v>-557.82340862422996</v>
      </c>
      <c r="I79" s="17">
        <f t="shared" si="11"/>
        <v>-31836.755646817252</v>
      </c>
      <c r="J79" s="17">
        <f t="shared" si="10"/>
        <v>-32394.579055441482</v>
      </c>
    </row>
    <row r="80" spans="1:10" x14ac:dyDescent="0.3">
      <c r="A80" s="16">
        <f>SETUP!$B$4+76</f>
        <v>46120</v>
      </c>
      <c r="B80" t="str">
        <f t="shared" si="8"/>
        <v>Wed</v>
      </c>
      <c r="C80" s="17">
        <f>SETUP!$B$5*(1+SETUP!$B$17)</f>
        <v>1500</v>
      </c>
      <c r="D80" s="17">
        <f>C80*(SETUP!$B$6+SETUP!$B$18)</f>
        <v>345</v>
      </c>
      <c r="E80" s="17">
        <f>C80*(SETUP!$B$7+SETUP!$B$22)</f>
        <v>525</v>
      </c>
      <c r="F80" s="17">
        <f>((SETUP!$B$8*(1+SETUP!$B$19)+SETUP!$B$9*(1+SETUP!$B$20)+SETUP!$B$10*(1+SETUP!$B$21))/SETUP!$B$14)</f>
        <v>377.82340862422996</v>
      </c>
      <c r="G80" s="17">
        <f>SUMIF(ONE_OFF_EVENTS!$A$5:$A$104,A80,ONE_OFF_EVENTS!$C$5:$C$104)</f>
        <v>0</v>
      </c>
      <c r="H80" s="17">
        <f t="shared" si="9"/>
        <v>-557.82340862422996</v>
      </c>
      <c r="I80" s="17">
        <f t="shared" si="11"/>
        <v>-32394.579055441482</v>
      </c>
      <c r="J80" s="17">
        <f t="shared" si="10"/>
        <v>-32952.402464065708</v>
      </c>
    </row>
    <row r="81" spans="1:10" x14ac:dyDescent="0.3">
      <c r="A81" s="16">
        <f>SETUP!$B$4+77</f>
        <v>46121</v>
      </c>
      <c r="B81" t="str">
        <f t="shared" si="8"/>
        <v>Thu</v>
      </c>
      <c r="C81" s="17">
        <f>SETUP!$B$5*(1+SETUP!$B$17)</f>
        <v>1500</v>
      </c>
      <c r="D81" s="17">
        <f>C81*(SETUP!$B$6+SETUP!$B$18)</f>
        <v>345</v>
      </c>
      <c r="E81" s="17">
        <f>C81*(SETUP!$B$7+SETUP!$B$22)</f>
        <v>525</v>
      </c>
      <c r="F81" s="17">
        <f>((SETUP!$B$8*(1+SETUP!$B$19)+SETUP!$B$9*(1+SETUP!$B$20)+SETUP!$B$10*(1+SETUP!$B$21))/SETUP!$B$14)</f>
        <v>377.82340862422996</v>
      </c>
      <c r="G81" s="17">
        <f>SUMIF(ONE_OFF_EVENTS!$A$5:$A$104,A81,ONE_OFF_EVENTS!$C$5:$C$104)</f>
        <v>0</v>
      </c>
      <c r="H81" s="17">
        <f t="shared" si="9"/>
        <v>-557.82340862422996</v>
      </c>
      <c r="I81" s="17">
        <f t="shared" si="11"/>
        <v>-32952.402464065708</v>
      </c>
      <c r="J81" s="17">
        <f t="shared" si="10"/>
        <v>-33510.225872689938</v>
      </c>
    </row>
    <row r="82" spans="1:10" x14ac:dyDescent="0.3">
      <c r="A82" s="16">
        <f>SETUP!$B$4+78</f>
        <v>46122</v>
      </c>
      <c r="B82" t="str">
        <f t="shared" si="8"/>
        <v>Fri</v>
      </c>
      <c r="C82" s="17">
        <f>SETUP!$B$5*(1+SETUP!$B$17)</f>
        <v>1500</v>
      </c>
      <c r="D82" s="17">
        <f>C82*(SETUP!$B$6+SETUP!$B$18)</f>
        <v>345</v>
      </c>
      <c r="E82" s="17">
        <f>C82*(SETUP!$B$7+SETUP!$B$22)</f>
        <v>525</v>
      </c>
      <c r="F82" s="17">
        <f>((SETUP!$B$8*(1+SETUP!$B$19)+SETUP!$B$9*(1+SETUP!$B$20)+SETUP!$B$10*(1+SETUP!$B$21))/SETUP!$B$14)</f>
        <v>377.82340862422996</v>
      </c>
      <c r="G82" s="17">
        <f>SUMIF(ONE_OFF_EVENTS!$A$5:$A$104,A82,ONE_OFF_EVENTS!$C$5:$C$104)</f>
        <v>0</v>
      </c>
      <c r="H82" s="17">
        <f t="shared" si="9"/>
        <v>-557.82340862422996</v>
      </c>
      <c r="I82" s="17">
        <f t="shared" si="11"/>
        <v>-33510.225872689938</v>
      </c>
      <c r="J82" s="17">
        <f t="shared" si="10"/>
        <v>-34068.049281314168</v>
      </c>
    </row>
    <row r="83" spans="1:10" x14ac:dyDescent="0.3">
      <c r="A83" s="16">
        <f>SETUP!$B$4+79</f>
        <v>46123</v>
      </c>
      <c r="B83" t="str">
        <f t="shared" si="8"/>
        <v>Sat</v>
      </c>
      <c r="C83" s="17">
        <f>SETUP!$B$5*(1+SETUP!$B$17)</f>
        <v>1500</v>
      </c>
      <c r="D83" s="17">
        <f>C83*(SETUP!$B$6+SETUP!$B$18)</f>
        <v>345</v>
      </c>
      <c r="E83" s="17">
        <f>C83*(SETUP!$B$7+SETUP!$B$22)</f>
        <v>525</v>
      </c>
      <c r="F83" s="17">
        <f>((SETUP!$B$8*(1+SETUP!$B$19)+SETUP!$B$9*(1+SETUP!$B$20)+SETUP!$B$10*(1+SETUP!$B$21))/SETUP!$B$14)</f>
        <v>377.82340862422996</v>
      </c>
      <c r="G83" s="17">
        <f>SUMIF(ONE_OFF_EVENTS!$A$5:$A$104,A83,ONE_OFF_EVENTS!$C$5:$C$104)</f>
        <v>0</v>
      </c>
      <c r="H83" s="17">
        <f t="shared" si="9"/>
        <v>-557.82340862422996</v>
      </c>
      <c r="I83" s="17">
        <f t="shared" si="11"/>
        <v>-34068.049281314168</v>
      </c>
      <c r="J83" s="17">
        <f t="shared" si="10"/>
        <v>-34625.872689938398</v>
      </c>
    </row>
    <row r="84" spans="1:10" x14ac:dyDescent="0.3">
      <c r="A84" s="16">
        <f>SETUP!$B$4+80</f>
        <v>46124</v>
      </c>
      <c r="B84" t="str">
        <f t="shared" si="8"/>
        <v>Sun</v>
      </c>
      <c r="C84" s="17">
        <f>SETUP!$B$5*(1+SETUP!$B$17)</f>
        <v>1500</v>
      </c>
      <c r="D84" s="17">
        <f>C84*(SETUP!$B$6+SETUP!$B$18)</f>
        <v>345</v>
      </c>
      <c r="E84" s="17">
        <f>C84*(SETUP!$B$7+SETUP!$B$22)</f>
        <v>525</v>
      </c>
      <c r="F84" s="17">
        <f>((SETUP!$B$8*(1+SETUP!$B$19)+SETUP!$B$9*(1+SETUP!$B$20)+SETUP!$B$10*(1+SETUP!$B$21))/SETUP!$B$14)</f>
        <v>377.82340862422996</v>
      </c>
      <c r="G84" s="17">
        <f>SUMIF(ONE_OFF_EVENTS!$A$5:$A$104,A84,ONE_OFF_EVENTS!$C$5:$C$104)</f>
        <v>0</v>
      </c>
      <c r="H84" s="17">
        <f t="shared" si="9"/>
        <v>-557.82340862422996</v>
      </c>
      <c r="I84" s="17">
        <f t="shared" si="11"/>
        <v>-34625.872689938398</v>
      </c>
      <c r="J84" s="17">
        <f t="shared" si="10"/>
        <v>-35183.696098562628</v>
      </c>
    </row>
    <row r="85" spans="1:10" x14ac:dyDescent="0.3">
      <c r="A85" s="16">
        <f>SETUP!$B$4+81</f>
        <v>46125</v>
      </c>
      <c r="B85" t="str">
        <f t="shared" si="8"/>
        <v>Mon</v>
      </c>
      <c r="C85" s="17">
        <f>SETUP!$B$5*(1+SETUP!$B$17)</f>
        <v>1500</v>
      </c>
      <c r="D85" s="17">
        <f>C85*(SETUP!$B$6+SETUP!$B$18)</f>
        <v>345</v>
      </c>
      <c r="E85" s="17">
        <f>C85*(SETUP!$B$7+SETUP!$B$22)</f>
        <v>525</v>
      </c>
      <c r="F85" s="17">
        <f>((SETUP!$B$8*(1+SETUP!$B$19)+SETUP!$B$9*(1+SETUP!$B$20)+SETUP!$B$10*(1+SETUP!$B$21))/SETUP!$B$14)</f>
        <v>377.82340862422996</v>
      </c>
      <c r="G85" s="17">
        <f>SUMIF(ONE_OFF_EVENTS!$A$5:$A$104,A85,ONE_OFF_EVENTS!$C$5:$C$104)</f>
        <v>0</v>
      </c>
      <c r="H85" s="17">
        <f t="shared" si="9"/>
        <v>-557.82340862422996</v>
      </c>
      <c r="I85" s="17">
        <f t="shared" si="11"/>
        <v>-35183.696098562628</v>
      </c>
      <c r="J85" s="17">
        <f t="shared" si="10"/>
        <v>-35741.519507186858</v>
      </c>
    </row>
    <row r="86" spans="1:10" x14ac:dyDescent="0.3">
      <c r="A86" s="16">
        <f>SETUP!$B$4+82</f>
        <v>46126</v>
      </c>
      <c r="B86" t="str">
        <f t="shared" si="8"/>
        <v>Tue</v>
      </c>
      <c r="C86" s="17">
        <f>SETUP!$B$5*(1+SETUP!$B$17)</f>
        <v>1500</v>
      </c>
      <c r="D86" s="17">
        <f>C86*(SETUP!$B$6+SETUP!$B$18)</f>
        <v>345</v>
      </c>
      <c r="E86" s="17">
        <f>C86*(SETUP!$B$7+SETUP!$B$22)</f>
        <v>525</v>
      </c>
      <c r="F86" s="17">
        <f>((SETUP!$B$8*(1+SETUP!$B$19)+SETUP!$B$9*(1+SETUP!$B$20)+SETUP!$B$10*(1+SETUP!$B$21))/SETUP!$B$14)</f>
        <v>377.82340862422996</v>
      </c>
      <c r="G86" s="17">
        <f>SUMIF(ONE_OFF_EVENTS!$A$5:$A$104,A86,ONE_OFF_EVENTS!$C$5:$C$104)</f>
        <v>0</v>
      </c>
      <c r="H86" s="17">
        <f t="shared" si="9"/>
        <v>-557.82340862422996</v>
      </c>
      <c r="I86" s="17">
        <f t="shared" si="11"/>
        <v>-35741.519507186858</v>
      </c>
      <c r="J86" s="17">
        <f t="shared" si="10"/>
        <v>-36299.342915811088</v>
      </c>
    </row>
    <row r="87" spans="1:10" x14ac:dyDescent="0.3">
      <c r="A87" s="16">
        <f>SETUP!$B$4+83</f>
        <v>46127</v>
      </c>
      <c r="B87" t="str">
        <f t="shared" si="8"/>
        <v>Wed</v>
      </c>
      <c r="C87" s="17">
        <f>SETUP!$B$5*(1+SETUP!$B$17)</f>
        <v>1500</v>
      </c>
      <c r="D87" s="17">
        <f>C87*(SETUP!$B$6+SETUP!$B$18)</f>
        <v>345</v>
      </c>
      <c r="E87" s="17">
        <f>C87*(SETUP!$B$7+SETUP!$B$22)</f>
        <v>525</v>
      </c>
      <c r="F87" s="17">
        <f>((SETUP!$B$8*(1+SETUP!$B$19)+SETUP!$B$9*(1+SETUP!$B$20)+SETUP!$B$10*(1+SETUP!$B$21))/SETUP!$B$14)</f>
        <v>377.82340862422996</v>
      </c>
      <c r="G87" s="17">
        <f>SUMIF(ONE_OFF_EVENTS!$A$5:$A$104,A87,ONE_OFF_EVENTS!$C$5:$C$104)</f>
        <v>0</v>
      </c>
      <c r="H87" s="17">
        <f t="shared" si="9"/>
        <v>-557.82340862422996</v>
      </c>
      <c r="I87" s="17">
        <f t="shared" si="11"/>
        <v>-36299.342915811088</v>
      </c>
      <c r="J87" s="17">
        <f t="shared" si="10"/>
        <v>-36857.166324435319</v>
      </c>
    </row>
    <row r="88" spans="1:10" x14ac:dyDescent="0.3">
      <c r="A88" s="16">
        <f>SETUP!$B$4+84</f>
        <v>46128</v>
      </c>
      <c r="B88" t="str">
        <f t="shared" si="8"/>
        <v>Thu</v>
      </c>
      <c r="C88" s="17">
        <f>SETUP!$B$5*(1+SETUP!$B$17)</f>
        <v>1500</v>
      </c>
      <c r="D88" s="17">
        <f>C88*(SETUP!$B$6+SETUP!$B$18)</f>
        <v>345</v>
      </c>
      <c r="E88" s="17">
        <f>C88*(SETUP!$B$7+SETUP!$B$22)</f>
        <v>525</v>
      </c>
      <c r="F88" s="17">
        <f>((SETUP!$B$8*(1+SETUP!$B$19)+SETUP!$B$9*(1+SETUP!$B$20)+SETUP!$B$10*(1+SETUP!$B$21))/SETUP!$B$14)</f>
        <v>377.82340862422996</v>
      </c>
      <c r="G88" s="17">
        <f>SUMIF(ONE_OFF_EVENTS!$A$5:$A$104,A88,ONE_OFF_EVENTS!$C$5:$C$104)</f>
        <v>0</v>
      </c>
      <c r="H88" s="17">
        <f t="shared" si="9"/>
        <v>-557.82340862422996</v>
      </c>
      <c r="I88" s="17">
        <f t="shared" si="11"/>
        <v>-36857.166324435319</v>
      </c>
      <c r="J88" s="17">
        <f t="shared" si="10"/>
        <v>-37414.989733059549</v>
      </c>
    </row>
    <row r="89" spans="1:10" x14ac:dyDescent="0.3">
      <c r="A89" s="16">
        <f>SETUP!$B$4+85</f>
        <v>46129</v>
      </c>
      <c r="B89" t="str">
        <f t="shared" si="8"/>
        <v>Fri</v>
      </c>
      <c r="C89" s="17">
        <f>SETUP!$B$5*(1+SETUP!$B$17)</f>
        <v>1500</v>
      </c>
      <c r="D89" s="17">
        <f>C89*(SETUP!$B$6+SETUP!$B$18)</f>
        <v>345</v>
      </c>
      <c r="E89" s="17">
        <f>C89*(SETUP!$B$7+SETUP!$B$22)</f>
        <v>525</v>
      </c>
      <c r="F89" s="17">
        <f>((SETUP!$B$8*(1+SETUP!$B$19)+SETUP!$B$9*(1+SETUP!$B$20)+SETUP!$B$10*(1+SETUP!$B$21))/SETUP!$B$14)</f>
        <v>377.82340862422996</v>
      </c>
      <c r="G89" s="17">
        <f>SUMIF(ONE_OFF_EVENTS!$A$5:$A$104,A89,ONE_OFF_EVENTS!$C$5:$C$104)</f>
        <v>0</v>
      </c>
      <c r="H89" s="17">
        <f t="shared" si="9"/>
        <v>-557.82340862422996</v>
      </c>
      <c r="I89" s="17">
        <f t="shared" si="11"/>
        <v>-37414.989733059549</v>
      </c>
      <c r="J89" s="17">
        <f t="shared" si="10"/>
        <v>-37972.813141683779</v>
      </c>
    </row>
    <row r="90" spans="1:10" x14ac:dyDescent="0.3">
      <c r="A90" s="16">
        <f>SETUP!$B$4+86</f>
        <v>46130</v>
      </c>
      <c r="B90" t="str">
        <f t="shared" si="8"/>
        <v>Sat</v>
      </c>
      <c r="C90" s="17">
        <f>SETUP!$B$5*(1+SETUP!$B$17)</f>
        <v>1500</v>
      </c>
      <c r="D90" s="17">
        <f>C90*(SETUP!$B$6+SETUP!$B$18)</f>
        <v>345</v>
      </c>
      <c r="E90" s="17">
        <f>C90*(SETUP!$B$7+SETUP!$B$22)</f>
        <v>525</v>
      </c>
      <c r="F90" s="17">
        <f>((SETUP!$B$8*(1+SETUP!$B$19)+SETUP!$B$9*(1+SETUP!$B$20)+SETUP!$B$10*(1+SETUP!$B$21))/SETUP!$B$14)</f>
        <v>377.82340862422996</v>
      </c>
      <c r="G90" s="17">
        <f>SUMIF(ONE_OFF_EVENTS!$A$5:$A$104,A90,ONE_OFF_EVENTS!$C$5:$C$104)</f>
        <v>0</v>
      </c>
      <c r="H90" s="17">
        <f t="shared" si="9"/>
        <v>-557.82340862422996</v>
      </c>
      <c r="I90" s="17">
        <f t="shared" si="11"/>
        <v>-37972.813141683779</v>
      </c>
      <c r="J90" s="17">
        <f t="shared" si="10"/>
        <v>-38530.636550308009</v>
      </c>
    </row>
    <row r="91" spans="1:10" x14ac:dyDescent="0.3">
      <c r="A91" s="16">
        <f>SETUP!$B$4+87</f>
        <v>46131</v>
      </c>
      <c r="B91" t="str">
        <f t="shared" si="8"/>
        <v>Sun</v>
      </c>
      <c r="C91" s="17">
        <f>SETUP!$B$5*(1+SETUP!$B$17)</f>
        <v>1500</v>
      </c>
      <c r="D91" s="17">
        <f>C91*(SETUP!$B$6+SETUP!$B$18)</f>
        <v>345</v>
      </c>
      <c r="E91" s="17">
        <f>C91*(SETUP!$B$7+SETUP!$B$22)</f>
        <v>525</v>
      </c>
      <c r="F91" s="17">
        <f>((SETUP!$B$8*(1+SETUP!$B$19)+SETUP!$B$9*(1+SETUP!$B$20)+SETUP!$B$10*(1+SETUP!$B$21))/SETUP!$B$14)</f>
        <v>377.82340862422996</v>
      </c>
      <c r="G91" s="17">
        <f>SUMIF(ONE_OFF_EVENTS!$A$5:$A$104,A91,ONE_OFF_EVENTS!$C$5:$C$104)</f>
        <v>0</v>
      </c>
      <c r="H91" s="17">
        <f t="shared" si="9"/>
        <v>-557.82340862422996</v>
      </c>
      <c r="I91" s="17">
        <f t="shared" si="11"/>
        <v>-38530.636550308009</v>
      </c>
      <c r="J91" s="17">
        <f t="shared" si="10"/>
        <v>-39088.459958932239</v>
      </c>
    </row>
    <row r="92" spans="1:10" x14ac:dyDescent="0.3">
      <c r="A92" s="16">
        <f>SETUP!$B$4+88</f>
        <v>46132</v>
      </c>
      <c r="B92" t="str">
        <f t="shared" si="8"/>
        <v>Mon</v>
      </c>
      <c r="C92" s="17">
        <f>SETUP!$B$5*(1+SETUP!$B$17)</f>
        <v>1500</v>
      </c>
      <c r="D92" s="17">
        <f>C92*(SETUP!$B$6+SETUP!$B$18)</f>
        <v>345</v>
      </c>
      <c r="E92" s="17">
        <f>C92*(SETUP!$B$7+SETUP!$B$22)</f>
        <v>525</v>
      </c>
      <c r="F92" s="17">
        <f>((SETUP!$B$8*(1+SETUP!$B$19)+SETUP!$B$9*(1+SETUP!$B$20)+SETUP!$B$10*(1+SETUP!$B$21))/SETUP!$B$14)</f>
        <v>377.82340862422996</v>
      </c>
      <c r="G92" s="17">
        <f>SUMIF(ONE_OFF_EVENTS!$A$5:$A$104,A92,ONE_OFF_EVENTS!$C$5:$C$104)</f>
        <v>0</v>
      </c>
      <c r="H92" s="17">
        <f t="shared" si="9"/>
        <v>-557.82340862422996</v>
      </c>
      <c r="I92" s="17">
        <f t="shared" si="11"/>
        <v>-39088.459958932239</v>
      </c>
      <c r="J92" s="17">
        <f t="shared" si="10"/>
        <v>-39646.283367556469</v>
      </c>
    </row>
    <row r="93" spans="1:10" x14ac:dyDescent="0.3">
      <c r="A93" s="16">
        <f>SETUP!$B$4+89</f>
        <v>46133</v>
      </c>
      <c r="B93" t="str">
        <f t="shared" si="8"/>
        <v>Tue</v>
      </c>
      <c r="C93" s="17">
        <f>SETUP!$B$5*(1+SETUP!$B$17)</f>
        <v>1500</v>
      </c>
      <c r="D93" s="17">
        <f>C93*(SETUP!$B$6+SETUP!$B$18)</f>
        <v>345</v>
      </c>
      <c r="E93" s="17">
        <f>C93*(SETUP!$B$7+SETUP!$B$22)</f>
        <v>525</v>
      </c>
      <c r="F93" s="17">
        <f>((SETUP!$B$8*(1+SETUP!$B$19)+SETUP!$B$9*(1+SETUP!$B$20)+SETUP!$B$10*(1+SETUP!$B$21))/SETUP!$B$14)</f>
        <v>377.82340862422996</v>
      </c>
      <c r="G93" s="17">
        <f>SUMIF(ONE_OFF_EVENTS!$A$5:$A$104,A93,ONE_OFF_EVENTS!$C$5:$C$104)</f>
        <v>0</v>
      </c>
      <c r="H93" s="17">
        <f t="shared" si="9"/>
        <v>-557.82340862422996</v>
      </c>
      <c r="I93" s="17">
        <f t="shared" si="11"/>
        <v>-39646.283367556469</v>
      </c>
      <c r="J93" s="17">
        <f t="shared" si="10"/>
        <v>-40204.106776180699</v>
      </c>
    </row>
  </sheetData>
  <sheetProtection sheet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defaultRowHeight="14.4" x14ac:dyDescent="0.3"/>
  <cols>
    <col min="1" max="1" width="42" customWidth="1"/>
    <col min="2" max="2" width="30" customWidth="1"/>
  </cols>
  <sheetData>
    <row r="1" spans="1:2" ht="15.6" x14ac:dyDescent="0.3">
      <c r="A1" s="4" t="s">
        <v>66</v>
      </c>
    </row>
    <row r="3" spans="1:2" x14ac:dyDescent="0.3">
      <c r="A3" t="s">
        <v>67</v>
      </c>
      <c r="B3" s="18">
        <f>MIN(DAILY_PLANNER!J4:J93)</f>
        <v>-40204.106776180699</v>
      </c>
    </row>
    <row r="4" spans="1:2" x14ac:dyDescent="0.3">
      <c r="A4" t="s">
        <v>68</v>
      </c>
      <c r="B4" s="18">
        <f>DAILY_PLANNER!J93</f>
        <v>-40204.106776180699</v>
      </c>
    </row>
    <row r="5" spans="1:2" x14ac:dyDescent="0.3">
      <c r="A5" t="s">
        <v>69</v>
      </c>
      <c r="B5" s="19" t="str">
        <f>IFERROR(INDEX(DAILY_PLANNER!A4:A93,MATCH(TRUE,DAILY_PLANNER!J4:J93&lt;0,0)),"No shortfall forecast")</f>
        <v>No shortfall forecast</v>
      </c>
    </row>
    <row r="6" spans="1:2" x14ac:dyDescent="0.3">
      <c r="A6" t="s">
        <v>70</v>
      </c>
      <c r="B6" s="18">
        <f>AVERAGE(DAILY_PLANNER!H4:H93)</f>
        <v>-557.82340862422996</v>
      </c>
    </row>
    <row r="8" spans="1:2" x14ac:dyDescent="0.3">
      <c r="A8" s="20" t="s">
        <v>71</v>
      </c>
    </row>
    <row r="9" spans="1:2" x14ac:dyDescent="0.3">
      <c r="A9" s="23" t="s">
        <v>72</v>
      </c>
      <c r="B9" s="22"/>
    </row>
    <row r="10" spans="1:2" x14ac:dyDescent="0.3">
      <c r="A10" s="22"/>
      <c r="B10" s="22"/>
    </row>
  </sheetData>
  <sheetProtection sheet="1"/>
  <mergeCells count="1">
    <mergeCell ref="A9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SETUP</vt:lpstr>
      <vt:lpstr>ONE_OFF_EVENTS</vt:lpstr>
      <vt:lpstr>WEEKLY_PLANNER</vt:lpstr>
      <vt:lpstr>DAILY_PLANNER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 Battistini</cp:lastModifiedBy>
  <dcterms:created xsi:type="dcterms:W3CDTF">2026-01-22T05:34:06Z</dcterms:created>
  <dcterms:modified xsi:type="dcterms:W3CDTF">2026-01-22T05:36:27Z</dcterms:modified>
</cp:coreProperties>
</file>